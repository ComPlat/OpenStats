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Ah_2403" sheetId="1" state="visible" r:id="rId3"/>
    <sheet name="SaAh_2601" sheetId="2" state="visible" r:id="rId4"/>
    <sheet name="SaAh_2602" sheetId="3" state="visible" r:id="rId5"/>
    <sheet name="SaAh_250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<sst xmlns="http://schemas.openxmlformats.org/spreadsheetml/2006/main" count="139" uniqueCount="25">
  <si>
    <t xml:space="preserve">Active Lever Presses</t>
  </si>
  <si>
    <t xml:space="preserve">pre surgery</t>
  </si>
  <si>
    <t xml:space="preserve">post surgery</t>
  </si>
  <si>
    <t xml:space="preserve">Days</t>
  </si>
  <si>
    <t xml:space="preserve">Animal ID</t>
  </si>
  <si>
    <t xml:space="preserve">S</t>
  </si>
  <si>
    <t xml:space="preserve">U</t>
  </si>
  <si>
    <t xml:space="preserve">R</t>
  </si>
  <si>
    <t xml:space="preserve">G</t>
  </si>
  <si>
    <t xml:space="preserve">E</t>
  </si>
  <si>
    <t xml:space="preserve">Y</t>
  </si>
  <si>
    <t xml:space="preserve">&amp;</t>
  </si>
  <si>
    <t xml:space="preserve">C</t>
  </si>
  <si>
    <t xml:space="preserve">O</t>
  </si>
  <si>
    <t xml:space="preserve">V</t>
  </si>
  <si>
    <t xml:space="preserve">Mean</t>
  </si>
  <si>
    <t xml:space="preserve">SD</t>
  </si>
  <si>
    <t xml:space="preserve">SEM</t>
  </si>
  <si>
    <t xml:space="preserve">mCherry</t>
  </si>
  <si>
    <t xml:space="preserve">Gi-DREADD</t>
  </si>
  <si>
    <t xml:space="preserve">Randomization results</t>
  </si>
  <si>
    <t xml:space="preserve">Pre Surgery</t>
  </si>
  <si>
    <t xml:space="preserve">Post surgery</t>
  </si>
  <si>
    <t xml:space="preserve">Gq-DREADD</t>
  </si>
  <si>
    <t xml:space="preserve">FR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</si>
</sst>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3F3F76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5" tint="0.7999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FC000"/>
        <bgColor rgb="FFFF9900"/>
      </patternFill>
    </fill>
    <fill>
      <patternFill patternType="solid">
        <fgColor theme="4" tint="0.7999"/>
        <bgColor rgb="FFE2F0D9"/>
      </patternFill>
    </fill>
    <fill>
      <patternFill patternType="solid">
        <fgColor theme="9" tint="0.5999"/>
        <bgColor rgb="FFD9D9D9"/>
      </patternFill>
    </fill>
    <fill>
      <patternFill patternType="solid">
        <fgColor theme="4" tint="0.5999"/>
        <bgColor rgb="FFD0CECE"/>
      </patternFill>
    </fill>
    <fill>
      <patternFill patternType="solid">
        <fgColor theme="2" tint="-0.1"/>
        <bgColor rgb="FFC9C9C9"/>
      </patternFill>
    </fill>
    <fill>
      <patternFill patternType="solid">
        <fgColor theme="6" tint="0.5999"/>
        <bgColor rgb="FFD9D9D9"/>
      </patternFill>
    </fill>
    <fill>
      <patternFill patternType="solid">
        <fgColor theme="5" tint="0.3999"/>
        <bgColor rgb="FFFFCC99"/>
      </patternFill>
    </fill>
    <fill>
      <patternFill patternType="solid">
        <fgColor theme="0" tint="-0.15"/>
        <bgColor rgb="FFDBDBDB"/>
      </patternFill>
    </fill>
    <fill>
      <patternFill patternType="solid">
        <fgColor theme="5" tint="0.5999"/>
        <bgColor rgb="FFFFCC99"/>
      </patternFill>
    </fill>
    <fill>
      <patternFill patternType="solid">
        <fgColor theme="7" tint="0.5999"/>
        <bgColor rgb="FFFFCC99"/>
      </patternFill>
    </fill>
    <fill>
      <patternFill patternType="solid">
        <fgColor theme="6" tint="0.3999"/>
        <bgColor rgb="FFD0CECE"/>
      </patternFill>
    </fill>
    <fill>
      <patternFill patternType="solid">
        <fgColor theme="9" tint="0.7999"/>
        <bgColor rgb="FFDE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Input" xfId="20"/>
  </cellStyles>
  <colors>
    <indexedColors>
      <rgbColor rgb="FF000000"/>
      <rgbColor rgb="FFD9D9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7F7F7F"/>
      <rgbColor rgb="FF9999FF"/>
      <rgbColor rgb="FF993366"/>
      <rgbColor rgb="FFFBE5D6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DBDB"/>
      <rgbColor rgb="FFE2F0D9"/>
      <rgbColor rgb="FFFFE699"/>
      <rgbColor rgb="FFD0CECE"/>
      <rgbColor rgb="FFF4B183"/>
      <rgbColor rgb="FFF8CBAD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C5E0B4"/>
      <rgbColor rgb="FF003366"/>
      <rgbColor rgb="FF339966"/>
      <rgbColor rgb="FF003300"/>
      <rgbColor rgb="FF333300"/>
      <rgbColor rgb="FF9933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R4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47" activeCellId="0" sqref="F47:F48"/>
    </sheetView>
  </sheetViews>
  <sheetFormatPr defaultColWidth="8.6796875" defaultRowHeight="15" zeroHeight="false" outlineLevelRow="0" outlineLevelCol="0"/>
  <cols>
    <col collapsed="false" customWidth="true" hidden="false" outlineLevel="0" max="11" min="7" style="0" width="18.82"/>
  </cols>
  <sheetData>
    <row r="2" customFormat="false" ht="15" hidden="false" customHeight="false" outlineLevel="0" collapsed="false">
      <c r="C2" s="0" t="s">
        <v>0</v>
      </c>
    </row>
    <row r="4" customFormat="false" ht="15" hidden="false" customHeight="false" outlineLevel="0" collapsed="false">
      <c r="G4" s="1"/>
      <c r="H4" s="1" t="s">
        <v>1</v>
      </c>
      <c r="I4" s="2"/>
      <c r="J4" s="2"/>
      <c r="K4" s="2"/>
      <c r="L4" s="3"/>
      <c r="M4" s="3"/>
      <c r="N4" s="4"/>
      <c r="O4" s="1" t="s">
        <v>2</v>
      </c>
      <c r="P4" s="1"/>
      <c r="Q4" s="1"/>
      <c r="R4" s="5"/>
    </row>
    <row r="5" customFormat="false" ht="15" hidden="false" customHeight="false" outlineLevel="0" collapsed="false">
      <c r="H5" s="0" t="s">
        <v>3</v>
      </c>
      <c r="O5" s="0" t="s">
        <v>3</v>
      </c>
    </row>
    <row r="6" customFormat="false" ht="15" hidden="false" customHeight="false" outlineLevel="0" collapsed="false">
      <c r="G6" s="0" t="n">
        <v>-5</v>
      </c>
      <c r="H6" s="0" t="n">
        <v>-4</v>
      </c>
      <c r="I6" s="0" t="n">
        <v>-3</v>
      </c>
      <c r="J6" s="0" t="n">
        <v>-2</v>
      </c>
      <c r="K6" s="0" t="n">
        <v>-1</v>
      </c>
      <c r="N6" s="0" t="n">
        <v>1</v>
      </c>
      <c r="O6" s="0" t="n">
        <v>2</v>
      </c>
      <c r="P6" s="0" t="n">
        <v>3</v>
      </c>
      <c r="Q6" s="0" t="n">
        <v>4</v>
      </c>
      <c r="R6" s="0" t="n">
        <v>5</v>
      </c>
    </row>
    <row r="7" customFormat="false" ht="15" hidden="false" customHeight="false" outlineLevel="0" collapsed="false">
      <c r="F7" s="0" t="s">
        <v>4</v>
      </c>
    </row>
    <row r="8" customFormat="false" ht="15" hidden="false" customHeight="false" outlineLevel="0" collapsed="false">
      <c r="F8" s="0" t="n">
        <v>1</v>
      </c>
      <c r="G8" s="6" t="n">
        <v>37</v>
      </c>
      <c r="H8" s="6" t="n">
        <v>48</v>
      </c>
      <c r="I8" s="6" t="n">
        <v>51</v>
      </c>
      <c r="J8" s="6" t="n">
        <v>50</v>
      </c>
      <c r="K8" s="6" t="n">
        <v>58</v>
      </c>
      <c r="N8" s="7" t="n">
        <v>46</v>
      </c>
      <c r="O8" s="7" t="n">
        <v>63</v>
      </c>
      <c r="P8" s="7" t="n">
        <v>63</v>
      </c>
      <c r="Q8" s="7" t="n">
        <v>70</v>
      </c>
      <c r="R8" s="7" t="n">
        <v>75</v>
      </c>
    </row>
    <row r="9" customFormat="false" ht="15" hidden="false" customHeight="false" outlineLevel="0" collapsed="false">
      <c r="F9" s="0" t="n">
        <v>2</v>
      </c>
      <c r="G9" s="6" t="n">
        <v>34</v>
      </c>
      <c r="H9" s="6" t="n">
        <v>41</v>
      </c>
      <c r="I9" s="6" t="n">
        <v>55</v>
      </c>
      <c r="J9" s="6" t="n">
        <v>57</v>
      </c>
      <c r="K9" s="6" t="n">
        <v>60</v>
      </c>
      <c r="N9" s="7" t="n">
        <v>64</v>
      </c>
      <c r="O9" s="7" t="n">
        <v>60</v>
      </c>
      <c r="P9" s="7" t="n">
        <v>59</v>
      </c>
      <c r="Q9" s="7" t="n">
        <v>58</v>
      </c>
      <c r="R9" s="7" t="n">
        <v>59</v>
      </c>
    </row>
    <row r="10" customFormat="false" ht="15" hidden="false" customHeight="false" outlineLevel="0" collapsed="false">
      <c r="F10" s="0" t="n">
        <v>3</v>
      </c>
      <c r="G10" s="6" t="n">
        <v>33</v>
      </c>
      <c r="H10" s="6" t="n">
        <v>30</v>
      </c>
      <c r="I10" s="6" t="n">
        <v>38</v>
      </c>
      <c r="J10" s="6" t="n">
        <v>36</v>
      </c>
      <c r="K10" s="6" t="n">
        <v>42</v>
      </c>
      <c r="M10" s="8" t="s">
        <v>5</v>
      </c>
      <c r="N10" s="7" t="n">
        <v>48</v>
      </c>
      <c r="O10" s="7" t="n">
        <v>41</v>
      </c>
      <c r="P10" s="7" t="n">
        <v>43</v>
      </c>
      <c r="Q10" s="7" t="n">
        <v>37</v>
      </c>
      <c r="R10" s="7" t="n">
        <v>55</v>
      </c>
    </row>
    <row r="11" customFormat="false" ht="15" hidden="false" customHeight="false" outlineLevel="0" collapsed="false">
      <c r="F11" s="0" t="n">
        <v>4</v>
      </c>
      <c r="G11" s="6" t="n">
        <v>40</v>
      </c>
      <c r="H11" s="6" t="n">
        <v>67</v>
      </c>
      <c r="I11" s="6" t="n">
        <v>50</v>
      </c>
      <c r="J11" s="6" t="n">
        <v>52</v>
      </c>
      <c r="K11" s="6" t="n">
        <v>46</v>
      </c>
      <c r="M11" s="8" t="s">
        <v>6</v>
      </c>
      <c r="N11" s="7" t="n">
        <v>101</v>
      </c>
      <c r="O11" s="7" t="n">
        <v>46</v>
      </c>
      <c r="P11" s="7" t="n">
        <v>45</v>
      </c>
      <c r="Q11" s="7" t="n">
        <v>34</v>
      </c>
      <c r="R11" s="7" t="n">
        <v>77</v>
      </c>
    </row>
    <row r="12" customFormat="false" ht="15" hidden="false" customHeight="false" outlineLevel="0" collapsed="false">
      <c r="F12" s="0" t="n">
        <v>5</v>
      </c>
      <c r="G12" s="6" t="n">
        <v>42</v>
      </c>
      <c r="H12" s="6" t="n">
        <v>56</v>
      </c>
      <c r="I12" s="6" t="n">
        <v>57</v>
      </c>
      <c r="J12" s="6" t="n">
        <v>56</v>
      </c>
      <c r="K12" s="6" t="n">
        <v>68</v>
      </c>
      <c r="M12" s="8" t="s">
        <v>7</v>
      </c>
      <c r="N12" s="7" t="n">
        <v>58</v>
      </c>
      <c r="O12" s="7" t="n">
        <v>54</v>
      </c>
      <c r="P12" s="7" t="n">
        <v>53</v>
      </c>
      <c r="Q12" s="7" t="n">
        <v>62</v>
      </c>
      <c r="R12" s="7" t="n">
        <v>54</v>
      </c>
    </row>
    <row r="13" customFormat="false" ht="15" hidden="false" customHeight="false" outlineLevel="0" collapsed="false">
      <c r="F13" s="0" t="n">
        <v>6</v>
      </c>
      <c r="G13" s="6" t="n">
        <v>30</v>
      </c>
      <c r="H13" s="6" t="n">
        <v>47</v>
      </c>
      <c r="I13" s="6" t="n">
        <v>46</v>
      </c>
      <c r="J13" s="6" t="n">
        <v>44</v>
      </c>
      <c r="K13" s="6" t="n">
        <v>63</v>
      </c>
      <c r="M13" s="8" t="s">
        <v>8</v>
      </c>
      <c r="N13" s="7" t="n">
        <v>57</v>
      </c>
      <c r="O13" s="7" t="n">
        <v>61</v>
      </c>
      <c r="P13" s="7" t="n">
        <v>51</v>
      </c>
      <c r="Q13" s="7" t="n">
        <v>48</v>
      </c>
      <c r="R13" s="7" t="n">
        <v>49</v>
      </c>
    </row>
    <row r="14" customFormat="false" ht="15" hidden="false" customHeight="false" outlineLevel="0" collapsed="false">
      <c r="F14" s="0" t="n">
        <v>7</v>
      </c>
      <c r="G14" s="6" t="n">
        <v>54</v>
      </c>
      <c r="H14" s="6" t="n">
        <v>76</v>
      </c>
      <c r="I14" s="6" t="n">
        <v>59</v>
      </c>
      <c r="J14" s="6" t="n">
        <v>58</v>
      </c>
      <c r="K14" s="6" t="n">
        <v>63</v>
      </c>
      <c r="M14" s="8" t="s">
        <v>9</v>
      </c>
      <c r="N14" s="7" t="n">
        <v>70</v>
      </c>
      <c r="O14" s="7" t="n">
        <v>61</v>
      </c>
      <c r="P14" s="7" t="n">
        <v>66</v>
      </c>
      <c r="Q14" s="7" t="n">
        <v>69</v>
      </c>
      <c r="R14" s="7" t="n">
        <v>77</v>
      </c>
    </row>
    <row r="15" customFormat="false" ht="15" hidden="false" customHeight="false" outlineLevel="0" collapsed="false">
      <c r="F15" s="0" t="n">
        <v>8</v>
      </c>
      <c r="G15" s="6" t="n">
        <v>42</v>
      </c>
      <c r="H15" s="6" t="n">
        <v>40</v>
      </c>
      <c r="I15" s="6" t="n">
        <v>52</v>
      </c>
      <c r="J15" s="6" t="n">
        <v>46</v>
      </c>
      <c r="K15" s="6" t="n">
        <v>57</v>
      </c>
      <c r="M15" s="8" t="s">
        <v>7</v>
      </c>
      <c r="N15" s="7" t="n">
        <v>102</v>
      </c>
      <c r="O15" s="7" t="n">
        <v>44</v>
      </c>
      <c r="P15" s="7" t="n">
        <v>44</v>
      </c>
      <c r="Q15" s="7" t="n">
        <v>39</v>
      </c>
      <c r="R15" s="7" t="n">
        <v>43</v>
      </c>
    </row>
    <row r="16" customFormat="false" ht="15" hidden="false" customHeight="false" outlineLevel="0" collapsed="false">
      <c r="F16" s="0" t="n">
        <v>9</v>
      </c>
      <c r="G16" s="6" t="n">
        <v>35</v>
      </c>
      <c r="H16" s="6" t="n">
        <v>37</v>
      </c>
      <c r="I16" s="6" t="n">
        <v>41</v>
      </c>
      <c r="J16" s="6" t="n">
        <v>45</v>
      </c>
      <c r="K16" s="6" t="n">
        <v>79</v>
      </c>
      <c r="M16" s="8" t="s">
        <v>10</v>
      </c>
      <c r="N16" s="7" t="n">
        <v>50</v>
      </c>
      <c r="O16" s="7" t="n">
        <v>45</v>
      </c>
      <c r="P16" s="7" t="n">
        <v>41</v>
      </c>
      <c r="Q16" s="7" t="n">
        <v>52</v>
      </c>
      <c r="R16" s="7" t="n">
        <v>44</v>
      </c>
    </row>
    <row r="17" customFormat="false" ht="15" hidden="false" customHeight="false" outlineLevel="0" collapsed="false">
      <c r="F17" s="0" t="n">
        <v>10</v>
      </c>
      <c r="G17" s="6" t="n">
        <v>62</v>
      </c>
      <c r="H17" s="6" t="n">
        <v>71</v>
      </c>
      <c r="I17" s="6" t="n">
        <v>79</v>
      </c>
      <c r="J17" s="9" t="n">
        <v>68</v>
      </c>
      <c r="K17" s="6" t="n">
        <v>58</v>
      </c>
      <c r="M17" s="8"/>
      <c r="N17" s="7" t="n">
        <v>44</v>
      </c>
      <c r="O17" s="7" t="n">
        <v>48</v>
      </c>
      <c r="P17" s="7" t="n">
        <v>75</v>
      </c>
      <c r="Q17" s="7" t="n">
        <v>79</v>
      </c>
      <c r="R17" s="7" t="n">
        <v>77</v>
      </c>
    </row>
    <row r="18" customFormat="false" ht="15" hidden="false" customHeight="false" outlineLevel="0" collapsed="false">
      <c r="F18" s="0" t="n">
        <v>11</v>
      </c>
      <c r="G18" s="6" t="n">
        <v>58</v>
      </c>
      <c r="H18" s="6" t="n">
        <v>58</v>
      </c>
      <c r="I18" s="6" t="n">
        <v>57</v>
      </c>
      <c r="J18" s="6" t="n">
        <v>72</v>
      </c>
      <c r="K18" s="6" t="n">
        <v>55</v>
      </c>
      <c r="M18" s="8" t="s">
        <v>11</v>
      </c>
      <c r="N18" s="7" t="n">
        <v>58</v>
      </c>
      <c r="O18" s="7" t="n">
        <v>47</v>
      </c>
      <c r="P18" s="7" t="n">
        <v>48</v>
      </c>
      <c r="Q18" s="7" t="n">
        <v>47</v>
      </c>
      <c r="R18" s="7" t="n">
        <v>55</v>
      </c>
    </row>
    <row r="19" customFormat="false" ht="15" hidden="false" customHeight="false" outlineLevel="0" collapsed="false">
      <c r="F19" s="0" t="n">
        <v>12</v>
      </c>
      <c r="G19" s="6" t="n">
        <v>51</v>
      </c>
      <c r="H19" s="6" t="n">
        <v>52</v>
      </c>
      <c r="I19" s="6" t="n">
        <v>41</v>
      </c>
      <c r="J19" s="6" t="n">
        <v>48</v>
      </c>
      <c r="K19" s="6" t="n">
        <v>48</v>
      </c>
      <c r="M19" s="8"/>
      <c r="N19" s="7" t="n">
        <v>87</v>
      </c>
      <c r="O19" s="7" t="n">
        <v>52</v>
      </c>
      <c r="P19" s="7" t="n">
        <v>58</v>
      </c>
      <c r="Q19" s="7" t="n">
        <v>86</v>
      </c>
      <c r="R19" s="7" t="n">
        <v>71</v>
      </c>
    </row>
    <row r="20" customFormat="false" ht="15" hidden="false" customHeight="false" outlineLevel="0" collapsed="false">
      <c r="F20" s="0" t="n">
        <v>13</v>
      </c>
      <c r="G20" s="6" t="n">
        <v>29</v>
      </c>
      <c r="H20" s="6" t="n">
        <v>40</v>
      </c>
      <c r="I20" s="6" t="n">
        <v>44</v>
      </c>
      <c r="J20" s="6" t="n">
        <v>83</v>
      </c>
      <c r="K20" s="6" t="n">
        <v>55</v>
      </c>
      <c r="M20" s="8" t="s">
        <v>7</v>
      </c>
      <c r="N20" s="7" t="n">
        <v>77</v>
      </c>
      <c r="O20" s="7" t="n">
        <v>74</v>
      </c>
      <c r="P20" s="7" t="n">
        <v>57</v>
      </c>
      <c r="Q20" s="10" t="n">
        <v>162</v>
      </c>
      <c r="R20" s="7" t="n">
        <v>43</v>
      </c>
    </row>
    <row r="21" customFormat="false" ht="15" hidden="false" customHeight="false" outlineLevel="0" collapsed="false">
      <c r="F21" s="0" t="n">
        <v>14</v>
      </c>
      <c r="G21" s="6" t="n">
        <v>30</v>
      </c>
      <c r="H21" s="6" t="n">
        <v>40</v>
      </c>
      <c r="I21" s="6" t="n">
        <v>47</v>
      </c>
      <c r="J21" s="6" t="n">
        <v>45</v>
      </c>
      <c r="K21" s="6" t="n">
        <v>52</v>
      </c>
      <c r="M21" s="8" t="s">
        <v>9</v>
      </c>
      <c r="N21" s="7" t="n">
        <v>48</v>
      </c>
      <c r="O21" s="7" t="n">
        <v>48</v>
      </c>
      <c r="P21" s="7" t="n">
        <v>42</v>
      </c>
      <c r="Q21" s="7" t="n">
        <v>42</v>
      </c>
      <c r="R21" s="7" t="n">
        <v>51</v>
      </c>
    </row>
    <row r="22" customFormat="false" ht="15" hidden="false" customHeight="false" outlineLevel="0" collapsed="false">
      <c r="F22" s="0" t="n">
        <v>15</v>
      </c>
      <c r="G22" s="6" t="n">
        <v>18</v>
      </c>
      <c r="H22" s="6" t="n">
        <v>28</v>
      </c>
      <c r="I22" s="6" t="n">
        <v>33</v>
      </c>
      <c r="J22" s="6" t="n">
        <v>35</v>
      </c>
      <c r="K22" s="6" t="n">
        <v>40</v>
      </c>
      <c r="M22" s="8" t="s">
        <v>12</v>
      </c>
      <c r="N22" s="7" t="n">
        <v>52</v>
      </c>
      <c r="O22" s="7" t="n">
        <v>41</v>
      </c>
      <c r="P22" s="7" t="n">
        <v>33</v>
      </c>
      <c r="Q22" s="7" t="n">
        <v>38</v>
      </c>
      <c r="R22" s="7" t="n">
        <v>39</v>
      </c>
    </row>
    <row r="23" customFormat="false" ht="15" hidden="false" customHeight="false" outlineLevel="0" collapsed="false">
      <c r="F23" s="0" t="n">
        <v>16</v>
      </c>
      <c r="G23" s="6" t="n">
        <v>25</v>
      </c>
      <c r="H23" s="6" t="n">
        <v>50</v>
      </c>
      <c r="I23" s="6" t="n">
        <v>63</v>
      </c>
      <c r="J23" s="6" t="n">
        <v>115</v>
      </c>
      <c r="K23" s="6" t="n">
        <v>51</v>
      </c>
      <c r="M23" s="8" t="s">
        <v>13</v>
      </c>
      <c r="N23" s="7" t="n">
        <v>75</v>
      </c>
      <c r="O23" s="7" t="n">
        <v>61</v>
      </c>
      <c r="P23" s="7" t="n">
        <v>57</v>
      </c>
      <c r="Q23" s="7" t="n">
        <v>71</v>
      </c>
      <c r="R23" s="7" t="n">
        <v>53</v>
      </c>
    </row>
    <row r="24" customFormat="false" ht="15" hidden="false" customHeight="false" outlineLevel="0" collapsed="false">
      <c r="F24" s="0" t="n">
        <v>17</v>
      </c>
      <c r="G24" s="6" t="n">
        <v>37</v>
      </c>
      <c r="H24" s="6" t="n">
        <v>37</v>
      </c>
      <c r="I24" s="6" t="n">
        <v>45</v>
      </c>
      <c r="J24" s="6" t="n">
        <v>47</v>
      </c>
      <c r="K24" s="6" t="n">
        <v>49</v>
      </c>
      <c r="M24" s="8" t="s">
        <v>14</v>
      </c>
      <c r="N24" s="7" t="n">
        <v>53</v>
      </c>
      <c r="O24" s="7" t="n">
        <v>42</v>
      </c>
      <c r="P24" s="7" t="n">
        <v>40</v>
      </c>
      <c r="Q24" s="7" t="n">
        <v>41</v>
      </c>
      <c r="R24" s="7" t="n">
        <v>53</v>
      </c>
    </row>
    <row r="25" customFormat="false" ht="15" hidden="false" customHeight="false" outlineLevel="0" collapsed="false">
      <c r="F25" s="0" t="n">
        <v>18</v>
      </c>
      <c r="G25" s="6" t="n">
        <v>51</v>
      </c>
      <c r="H25" s="6" t="n">
        <v>42</v>
      </c>
      <c r="I25" s="6" t="n">
        <v>52</v>
      </c>
      <c r="J25" s="6" t="n">
        <v>60</v>
      </c>
      <c r="K25" s="6" t="n">
        <v>61</v>
      </c>
      <c r="M25" s="8" t="s">
        <v>9</v>
      </c>
      <c r="N25" s="7" t="n">
        <v>82</v>
      </c>
      <c r="O25" s="7" t="n">
        <v>58</v>
      </c>
      <c r="P25" s="7" t="n">
        <v>53</v>
      </c>
      <c r="Q25" s="7" t="n">
        <v>62</v>
      </c>
      <c r="R25" s="7" t="n">
        <v>54</v>
      </c>
    </row>
    <row r="26" customFormat="false" ht="15" hidden="false" customHeight="false" outlineLevel="0" collapsed="false">
      <c r="F26" s="0" t="n">
        <v>19</v>
      </c>
      <c r="G26" s="6" t="n">
        <v>51</v>
      </c>
      <c r="H26" s="6" t="n">
        <v>55</v>
      </c>
      <c r="I26" s="6" t="n">
        <v>50</v>
      </c>
      <c r="J26" s="6" t="n">
        <v>52</v>
      </c>
      <c r="K26" s="6" t="n">
        <v>57</v>
      </c>
      <c r="M26" s="8" t="s">
        <v>7</v>
      </c>
      <c r="N26" s="7" t="n">
        <v>93</v>
      </c>
      <c r="O26" s="7" t="n">
        <v>87</v>
      </c>
      <c r="P26" s="7" t="n">
        <v>66</v>
      </c>
      <c r="Q26" s="7" t="n">
        <v>82</v>
      </c>
      <c r="R26" s="7" t="n">
        <v>97</v>
      </c>
    </row>
    <row r="27" customFormat="false" ht="15" hidden="false" customHeight="false" outlineLevel="0" collapsed="false">
      <c r="F27" s="0" t="n">
        <v>20</v>
      </c>
      <c r="G27" s="6" t="n">
        <v>40</v>
      </c>
      <c r="H27" s="6" t="n">
        <v>35</v>
      </c>
      <c r="I27" s="6" t="n">
        <v>40</v>
      </c>
      <c r="J27" s="6" t="n">
        <v>41</v>
      </c>
      <c r="K27" s="6" t="n">
        <v>64</v>
      </c>
      <c r="M27" s="8" t="s">
        <v>10</v>
      </c>
      <c r="N27" s="7" t="n">
        <v>62</v>
      </c>
      <c r="O27" s="7" t="n">
        <v>50</v>
      </c>
      <c r="P27" s="7" t="n">
        <v>51</v>
      </c>
      <c r="Q27" s="7" t="n">
        <v>56</v>
      </c>
      <c r="R27" s="7" t="n">
        <v>55</v>
      </c>
    </row>
    <row r="28" customFormat="false" ht="15" hidden="false" customHeight="false" outlineLevel="0" collapsed="false">
      <c r="F28" s="0" t="n">
        <v>21</v>
      </c>
      <c r="G28" s="6" t="n">
        <v>45</v>
      </c>
      <c r="H28" s="6" t="n">
        <v>45</v>
      </c>
      <c r="I28" s="6" t="n">
        <v>50</v>
      </c>
      <c r="J28" s="6" t="n">
        <v>38</v>
      </c>
      <c r="K28" s="6" t="n">
        <v>40</v>
      </c>
      <c r="N28" s="7" t="n">
        <v>57</v>
      </c>
      <c r="O28" s="7" t="n">
        <v>46</v>
      </c>
      <c r="P28" s="7" t="n">
        <v>41</v>
      </c>
      <c r="Q28" s="7" t="n">
        <v>50</v>
      </c>
      <c r="R28" s="7" t="n">
        <v>47</v>
      </c>
    </row>
    <row r="29" customFormat="false" ht="15" hidden="false" customHeight="false" outlineLevel="0" collapsed="false">
      <c r="F29" s="0" t="n">
        <v>22</v>
      </c>
      <c r="G29" s="6" t="n">
        <v>45</v>
      </c>
      <c r="H29" s="6" t="n">
        <v>47</v>
      </c>
      <c r="I29" s="6" t="n">
        <v>86</v>
      </c>
      <c r="J29" s="6" t="n">
        <v>59</v>
      </c>
      <c r="K29" s="6" t="n">
        <v>76</v>
      </c>
      <c r="N29" s="7" t="n">
        <v>92</v>
      </c>
      <c r="O29" s="7" t="n">
        <v>54</v>
      </c>
      <c r="P29" s="7" t="n">
        <v>62</v>
      </c>
      <c r="Q29" s="7" t="n">
        <v>60</v>
      </c>
      <c r="R29" s="7" t="n">
        <v>51</v>
      </c>
    </row>
    <row r="30" customFormat="false" ht="15" hidden="false" customHeight="false" outlineLevel="0" collapsed="false">
      <c r="F30" s="0" t="s">
        <v>15</v>
      </c>
      <c r="G30" s="11" t="n">
        <f aca="false">AVERAGE(G8:G29)</f>
        <v>40.4090909090909</v>
      </c>
      <c r="H30" s="11" t="n">
        <f aca="false">AVERAGE(H8:H29)</f>
        <v>47.3636363636364</v>
      </c>
      <c r="I30" s="11" t="n">
        <f aca="false">AVERAGE(I8:I29)</f>
        <v>51.6363636363636</v>
      </c>
      <c r="J30" s="11" t="n">
        <f aca="false">AVERAGE(J8:J29)</f>
        <v>54.8636363636364</v>
      </c>
      <c r="K30" s="11" t="n">
        <f aca="false">AVERAGE(K8:K29)</f>
        <v>56.4545454545455</v>
      </c>
      <c r="L30" s="11"/>
      <c r="M30" s="11"/>
      <c r="N30" s="11" t="n">
        <f aca="false">AVERAGE(N8:N29)</f>
        <v>67.0909090909091</v>
      </c>
      <c r="O30" s="11" t="n">
        <f aca="false">AVERAGE(O8:O29)</f>
        <v>53.7727272727273</v>
      </c>
      <c r="P30" s="11" t="n">
        <f aca="false">AVERAGE(P8:P29)</f>
        <v>52.1818181818182</v>
      </c>
      <c r="Q30" s="11" t="n">
        <f aca="false">AVERAGE(Q8:Q29)</f>
        <v>61.1363636363636</v>
      </c>
      <c r="R30" s="11" t="n">
        <f aca="false">AVERAGE(R8:R29)</f>
        <v>58.1363636363636</v>
      </c>
    </row>
    <row r="31" customFormat="false" ht="15" hidden="false" customHeight="false" outlineLevel="0" collapsed="false">
      <c r="F31" s="0" t="s">
        <v>16</v>
      </c>
      <c r="G31" s="11" t="n">
        <f aca="false">STDEV(G8:G9,G11,G14,G17,G19,G21:G22,G26:G27,G29)</f>
        <v>12.3773987574126</v>
      </c>
      <c r="H31" s="11" t="n">
        <f aca="false">STDEV(H8:H9,H11,H14,H17,H19,H21:H22,H26:H27,H29)</f>
        <v>15.2607637125705</v>
      </c>
      <c r="I31" s="11" t="n">
        <f aca="false">STDEV(I8:I9,I11,I14,I17,I19,I21:I22,I26:I27,I29)</f>
        <v>16.0317866071808</v>
      </c>
      <c r="J31" s="11" t="n">
        <f aca="false">STDEV(J8:J9,J11,J14,J17,J19,J21:J22,J26:J27,J29)</f>
        <v>9.16812660550374</v>
      </c>
      <c r="K31" s="11" t="n">
        <f aca="false">STDEV(K8:K9,K11,K14,K17,K19,K21:K22,K26:K27,K29)</f>
        <v>9.85254927786343</v>
      </c>
      <c r="L31" s="11"/>
      <c r="M31" s="11"/>
      <c r="N31" s="11" t="n">
        <f aca="false">STDEV(N8:N9,N11,N14,N17,N19,N21:N22,N26:N27,N29)</f>
        <v>21.0047613649858</v>
      </c>
      <c r="O31" s="11" t="n">
        <f aca="false">STDEV(O8:O9,O11,O14,O17,O19,O21:O22,O26:O27,O29)</f>
        <v>12.4768877238167</v>
      </c>
      <c r="P31" s="11" t="n">
        <f aca="false">STDEV(P8:P9,P11,P14,P17,P19,P21:P22,P26:P27,P29)</f>
        <v>12.3634358272507</v>
      </c>
      <c r="Q31" s="11" t="n">
        <f aca="false">STDEV(Q8:Q9,Q11,Q14,Q17,Q19,Q21:Q22,Q26:Q27,Q29)</f>
        <v>17.8554804420991</v>
      </c>
      <c r="R31" s="11" t="n">
        <f aca="false">STDEV(R8:R9,R11,R14,R17,R19,R21:R22,R26:R27,R29)</f>
        <v>16.6678787438049</v>
      </c>
    </row>
    <row r="32" customFormat="false" ht="15" hidden="false" customHeight="false" outlineLevel="0" collapsed="false">
      <c r="F32" s="0" t="s">
        <v>17</v>
      </c>
      <c r="G32" s="11" t="n">
        <f aca="false">G31/SQRT(11)</f>
        <v>3.73192614172263</v>
      </c>
      <c r="H32" s="11" t="n">
        <f aca="false">H31/SQRT(11)</f>
        <v>4.60129338626068</v>
      </c>
      <c r="I32" s="11" t="n">
        <f aca="false">I31/SQRT(11)</f>
        <v>4.83376553591487</v>
      </c>
      <c r="J32" s="11" t="n">
        <f aca="false">J31/SQRT(11)</f>
        <v>2.7642941800846</v>
      </c>
      <c r="K32" s="11" t="n">
        <f aca="false">K31/SQRT(11)</f>
        <v>2.97065538028728</v>
      </c>
      <c r="L32" s="11"/>
      <c r="M32" s="11"/>
      <c r="N32" s="11" t="n">
        <f aca="false">N31/SQRT(11)</f>
        <v>6.33317384169193</v>
      </c>
      <c r="O32" s="11" t="n">
        <f aca="false">O31/SQRT(11)</f>
        <v>3.76192319375376</v>
      </c>
      <c r="P32" s="11" t="n">
        <f aca="false">P31/SQRT(11)</f>
        <v>3.72771615987524</v>
      </c>
      <c r="Q32" s="11" t="n">
        <f aca="false">Q31/SQRT(11)</f>
        <v>5.38362991617925</v>
      </c>
      <c r="R32" s="11" t="n">
        <f aca="false">R31/SQRT(11)</f>
        <v>5.02555453130373</v>
      </c>
    </row>
    <row r="34" customFormat="false" ht="15" hidden="false" customHeight="false" outlineLevel="0" collapsed="false">
      <c r="F34" s="0" t="s">
        <v>15</v>
      </c>
      <c r="G34" s="12" t="n">
        <f aca="false">AVERAGE(G8:G9,G11,G14,G17,G19,G21:G22,G26:G27,G29)</f>
        <v>42</v>
      </c>
      <c r="H34" s="12" t="n">
        <f aca="false">AVERAGE(H8:H9,H11,H14,H17,H19,H21:H22,H26:H27,H29)</f>
        <v>50.9090909090909</v>
      </c>
      <c r="I34" s="12" t="n">
        <f aca="false">AVERAGE(I8:I9,I11,I14,I17,I19,I21:I22,I26:I27,I29)</f>
        <v>53.7272727272727</v>
      </c>
      <c r="J34" s="12" t="n">
        <f aca="false">AVERAGE(J8:J9,J11,J14,J17,J19,J21:J22,J26:J27,J29)</f>
        <v>51.3636363636364</v>
      </c>
      <c r="K34" s="12" t="n">
        <f aca="false">AVERAGE(K8:K9,K11,K14,K17,K19,K21:K22,K26:K27,K29)</f>
        <v>56.5454545454546</v>
      </c>
      <c r="L34" s="12"/>
      <c r="M34" s="12"/>
      <c r="N34" s="12" t="n">
        <f aca="false">AVERAGE(N8:N9,N11,N14,N17,N19,N21:N22,N26:N27,N29)</f>
        <v>69</v>
      </c>
      <c r="O34" s="12" t="n">
        <f aca="false">AVERAGE(O8:O9,O11,O14,O17,O19,O21:O22,O26:O27,O29)</f>
        <v>55.4545454545455</v>
      </c>
      <c r="P34" s="12" t="n">
        <f aca="false">AVERAGE(P8:P9,P11,P14,P17,P19,P21:P22,P26:P27,P29)</f>
        <v>56.3636363636364</v>
      </c>
      <c r="Q34" s="12" t="n">
        <f aca="false">AVERAGE(Q8:Q9,Q11,Q14,Q17,Q19,Q21:Q22,Q26:Q27,Q29)</f>
        <v>61.2727272727273</v>
      </c>
      <c r="R34" s="12" t="n">
        <f aca="false">AVERAGE(R8:R9,R11,R14,R17,R19,R21:R22,R26:R27,R29)</f>
        <v>66.2727272727273</v>
      </c>
    </row>
    <row r="35" customFormat="false" ht="15" hidden="false" customHeight="false" outlineLevel="0" collapsed="false">
      <c r="D35" s="13" t="s">
        <v>18</v>
      </c>
      <c r="F35" s="14" t="s">
        <v>16</v>
      </c>
      <c r="G35" s="12" t="n">
        <f aca="false">STDEV(G8:G9,G11,G14,G17,G19,G21:G22,G26:G27,G29)</f>
        <v>12.3773987574126</v>
      </c>
      <c r="H35" s="12" t="n">
        <f aca="false">STDEV(H8:H9,H11,H14,H17,H19,H21:H22,H26:H27,H29)</f>
        <v>15.2607637125705</v>
      </c>
      <c r="I35" s="12" t="n">
        <f aca="false">STDEV(I8:I9,I11,I14,I17,I19,I21:I22,I26:I27,I29)</f>
        <v>16.0317866071808</v>
      </c>
      <c r="J35" s="12" t="n">
        <f aca="false">STDEV(J8:J9,J11,J14,J17,J19,J21:J22,J26:J27,J29)</f>
        <v>9.16812660550374</v>
      </c>
      <c r="K35" s="12" t="n">
        <f aca="false">STDEV(K8:K9,K11,K14,K17,K19,K21:K22,K26:K27,K29)</f>
        <v>9.85254927786344</v>
      </c>
      <c r="L35" s="12"/>
      <c r="M35" s="12"/>
      <c r="N35" s="12" t="n">
        <f aca="false">STDEV(N8:N9,N11,N14,N17,N19,N21:N22,N26:N27,N29)</f>
        <v>21.0047613649858</v>
      </c>
      <c r="O35" s="12" t="n">
        <f aca="false">STDEV(O8:O9,O11,O14,O17,O19,O21:O22,O26:O27,O29)</f>
        <v>12.4768877238167</v>
      </c>
      <c r="P35" s="12" t="n">
        <f aca="false">STDEV(P8:P9,P11,P14,P17,P19,P21:P22,P26:P27,P29)</f>
        <v>12.3634358272507</v>
      </c>
      <c r="Q35" s="12" t="n">
        <f aca="false">STDEV(Q8:Q9,Q11,Q14,Q17,Q19,Q21:Q22,Q26:Q27,Q29)</f>
        <v>17.8554804420991</v>
      </c>
      <c r="R35" s="12" t="n">
        <f aca="false">STDEV(R8:R9,R11,R14,R17,R19,R21:R22,R26:R27,R29)</f>
        <v>16.6678787438049</v>
      </c>
    </row>
    <row r="36" customFormat="false" ht="15" hidden="false" customHeight="false" outlineLevel="0" collapsed="false">
      <c r="F36" s="0" t="s">
        <v>17</v>
      </c>
      <c r="G36" s="12" t="n">
        <f aca="false">G35/SQRT(11)</f>
        <v>3.73192614172263</v>
      </c>
      <c r="H36" s="12" t="n">
        <f aca="false">H35/SQRT(11)</f>
        <v>4.60129338626068</v>
      </c>
      <c r="I36" s="12" t="n">
        <f aca="false">I35/SQRT(11)</f>
        <v>4.83376553591487</v>
      </c>
      <c r="J36" s="12" t="n">
        <f aca="false">J35/SQRT(11)</f>
        <v>2.7642941800846</v>
      </c>
      <c r="K36" s="12" t="n">
        <f aca="false">K35/SQRT(11)</f>
        <v>2.97065538028728</v>
      </c>
      <c r="L36" s="12"/>
      <c r="M36" s="12"/>
      <c r="N36" s="12" t="n">
        <f aca="false">N35/SQRT(11)</f>
        <v>6.33317384169193</v>
      </c>
      <c r="O36" s="12" t="n">
        <f aca="false">O35/SQRT(11)</f>
        <v>3.76192319375376</v>
      </c>
      <c r="P36" s="12" t="n">
        <f aca="false">P35/SQRT(11)</f>
        <v>3.72771615987524</v>
      </c>
      <c r="Q36" s="12" t="n">
        <f aca="false">Q35/SQRT(11)</f>
        <v>5.38362991617925</v>
      </c>
      <c r="R36" s="12" t="n">
        <f aca="false">R35/SQRT(11)</f>
        <v>5.02555453130373</v>
      </c>
    </row>
    <row r="38" customFormat="false" ht="15" hidden="false" customHeight="false" outlineLevel="0" collapsed="false">
      <c r="F38" s="0" t="s">
        <v>15</v>
      </c>
      <c r="G38" s="15" t="n">
        <f aca="false">AVERAGE(G10,G12:G13,G15:G16,G18,G20,G23:G25,G28)</f>
        <v>38.8181818181818</v>
      </c>
      <c r="H38" s="15" t="n">
        <f aca="false">AVERAGE(H10,H12:H13,H15:H16,H18,H20,H23:H25,H28)</f>
        <v>43.8181818181818</v>
      </c>
      <c r="I38" s="15" t="n">
        <f aca="false">AVERAGE(I10,I12:I13,I15:I16,I18,I20,I23:I25,I28)</f>
        <v>49.5454545454546</v>
      </c>
      <c r="J38" s="15" t="n">
        <f aca="false">AVERAGE(J10,J12:J13,J15:J16,J18,J20,J23:J25,J28)</f>
        <v>58.3636363636364</v>
      </c>
      <c r="K38" s="15" t="n">
        <f aca="false">AVERAGE(K10,K12:K13,K15:K16,K18,K20,K23:K25,K28)</f>
        <v>56.3636363636364</v>
      </c>
      <c r="L38" s="15"/>
      <c r="M38" s="15"/>
      <c r="N38" s="15" t="n">
        <f aca="false">AVERAGE(N10,N12:N13,N15:N16,N18,N20,N23:N25,N28)</f>
        <v>65.1818181818182</v>
      </c>
      <c r="O38" s="15" t="n">
        <f aca="false">AVERAGE(O10,O12:O13,O15:O16,O18,O20,O23:O25,O28)</f>
        <v>52.0909090909091</v>
      </c>
      <c r="P38" s="15" t="n">
        <f aca="false">AVERAGE(P10,P12:P13,P15:P16,P18,P20,P23:P25,P28)</f>
        <v>48</v>
      </c>
      <c r="Q38" s="15" t="n">
        <f aca="false">AVERAGE(Q10,Q12:Q13,Q15:Q16,Q18,Q20,Q23:Q25,Q28)</f>
        <v>61</v>
      </c>
      <c r="R38" s="15" t="n">
        <f aca="false">AVERAGE(R10,R12:R13,R15:R16,R18,R20,R23:R25,R28)</f>
        <v>50</v>
      </c>
    </row>
    <row r="39" customFormat="false" ht="15" hidden="false" customHeight="false" outlineLevel="0" collapsed="false">
      <c r="D39" s="16" t="s">
        <v>19</v>
      </c>
      <c r="F39" s="14" t="s">
        <v>16</v>
      </c>
      <c r="G39" s="15" t="n">
        <f aca="false">STDEV(G10,G12:G13,G15:G16,G18,G20,G23:G25,G28)</f>
        <v>9.95809401259279</v>
      </c>
      <c r="H39" s="15" t="n">
        <f aca="false">STDEV(H10,H12:H13,H15:H16,H18,H20,H23:H25,H28)</f>
        <v>8.45952932281911</v>
      </c>
      <c r="I39" s="15" t="n">
        <f aca="false">STDEV(I10,I12:I13,I15:I16,I18,I20,I23:I25,I28)</f>
        <v>7.58107692038059</v>
      </c>
      <c r="J39" s="15" t="n">
        <f aca="false">STDEV(J10,J12:J13,J15:J16,J18,J20,J23:J25,J28)</f>
        <v>23.6443343203937</v>
      </c>
      <c r="K39" s="15" t="n">
        <f aca="false">STDEV(K10,K12:K13,K15:K16,K18,K20,K23:K25,K28)</f>
        <v>11.2895768501103</v>
      </c>
      <c r="L39" s="15"/>
      <c r="M39" s="15"/>
      <c r="N39" s="15" t="n">
        <f aca="false">STDEV(N10,N12:N13,N15:N16,N18,N20,N23:N25,N28)</f>
        <v>16.6902257732973</v>
      </c>
      <c r="O39" s="15" t="n">
        <f aca="false">STDEV(O10,O12:O13,O15:O16,O18,O20,O23:O25,O28)</f>
        <v>10.3966777910498</v>
      </c>
      <c r="P39" s="15" t="n">
        <f aca="false">STDEV(P10,P12:P13,P15:P16,P18,P20,P23:P25,P28)</f>
        <v>6.51152823843988</v>
      </c>
      <c r="Q39" s="15" t="n">
        <f aca="false">STDEV(Q10,Q12:Q13,Q15:Q16,Q18,Q20,Q23:Q25,Q28)</f>
        <v>35.1140997321589</v>
      </c>
      <c r="R39" s="15" t="n">
        <f aca="false">STDEV(R10,R12:R13,R15:R16,R18,R20,R23:R25,R28)</f>
        <v>4.93963561409139</v>
      </c>
    </row>
    <row r="40" customFormat="false" ht="15" hidden="false" customHeight="false" outlineLevel="0" collapsed="false">
      <c r="F40" s="0" t="s">
        <v>17</v>
      </c>
      <c r="G40" s="15" t="n">
        <f aca="false">G39/SQRT(11)</f>
        <v>3.00247831516863</v>
      </c>
      <c r="H40" s="15" t="n">
        <f aca="false">H39/SQRT(11)</f>
        <v>2.55064406061821</v>
      </c>
      <c r="I40" s="15" t="n">
        <f aca="false">I39/SQRT(11)</f>
        <v>2.2857806956114</v>
      </c>
      <c r="J40" s="15" t="n">
        <f aca="false">J39/SQRT(11)</f>
        <v>7.12903503258806</v>
      </c>
      <c r="K40" s="15" t="n">
        <f aca="false">K39/SQRT(11)</f>
        <v>3.40393549579074</v>
      </c>
      <c r="L40" s="15"/>
      <c r="M40" s="15"/>
      <c r="N40" s="15" t="n">
        <f aca="false">N39/SQRT(11)</f>
        <v>5.0322924142133</v>
      </c>
      <c r="O40" s="15" t="n">
        <f aca="false">O39/SQRT(11)</f>
        <v>3.13471629992121</v>
      </c>
      <c r="P40" s="15" t="n">
        <f aca="false">P39/SQRT(11)</f>
        <v>1.96329963442809</v>
      </c>
      <c r="Q40" s="15" t="n">
        <f aca="false">Q39/SQRT(11)</f>
        <v>10.5872994238809</v>
      </c>
      <c r="R40" s="15" t="n">
        <f aca="false">R39/SQRT(11)</f>
        <v>1.4893561757289</v>
      </c>
    </row>
    <row r="42" customFormat="false" ht="15" hidden="false" customHeight="false" outlineLevel="0" collapsed="false">
      <c r="D42" s="17" t="s">
        <v>20</v>
      </c>
    </row>
    <row r="44" customFormat="false" ht="15" hidden="false" customHeight="false" outlineLevel="0" collapsed="false">
      <c r="D44" s="0" t="s">
        <v>18</v>
      </c>
      <c r="F44" s="0" t="s">
        <v>15</v>
      </c>
    </row>
    <row r="45" customFormat="false" ht="15" hidden="false" customHeight="false" outlineLevel="0" collapsed="false">
      <c r="F45" s="0" t="s">
        <v>16</v>
      </c>
    </row>
    <row r="47" customFormat="false" ht="15" hidden="false" customHeight="false" outlineLevel="0" collapsed="false">
      <c r="D47" s="0" t="s">
        <v>19</v>
      </c>
      <c r="F47" s="0" t="s">
        <v>15</v>
      </c>
    </row>
    <row r="48" customFormat="false" ht="15" hidden="false" customHeight="false" outlineLevel="0" collapsed="false">
      <c r="F48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61"/>
  <sheetViews>
    <sheetView showFormulas="false" showGridLines="true" showRowColHeaders="true" showZeros="true" rightToLeft="false" tabSelected="false" showOutlineSymbols="true" defaultGridColor="true" view="normal" topLeftCell="A1" colorId="64" zoomScale="59" zoomScaleNormal="59" zoomScalePageLayoutView="100" workbookViewId="0">
      <selection pane="topLeft" activeCell="D5" activeCellId="1" sqref="F47:F48 D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K1" s="18"/>
      <c r="L1" s="19"/>
    </row>
    <row r="2" customFormat="false" ht="15" hidden="false" customHeight="false" outlineLevel="0" collapsed="false">
      <c r="G2" s="0" t="s">
        <v>3</v>
      </c>
      <c r="K2" s="3"/>
      <c r="L2" s="3"/>
      <c r="M2" s="14" t="s">
        <v>3</v>
      </c>
    </row>
    <row r="3" customFormat="false" ht="15" hidden="false" customHeight="false" outlineLevel="0" collapsed="false">
      <c r="E3" s="1"/>
      <c r="F3" s="1"/>
      <c r="G3" s="2" t="s">
        <v>21</v>
      </c>
      <c r="H3" s="2"/>
      <c r="I3" s="2"/>
      <c r="J3" s="2"/>
      <c r="K3" s="3"/>
      <c r="L3" s="4"/>
      <c r="M3" s="1" t="s">
        <v>22</v>
      </c>
      <c r="N3" s="1"/>
      <c r="O3" s="1"/>
      <c r="P3" s="2"/>
    </row>
    <row r="4" customFormat="false" ht="15" hidden="false" customHeight="false" outlineLevel="0" collapsed="false">
      <c r="E4" s="20" t="n">
        <v>-5</v>
      </c>
      <c r="F4" s="20" t="n">
        <v>-4</v>
      </c>
      <c r="G4" s="20" t="n">
        <v>-3</v>
      </c>
      <c r="H4" s="20" t="n">
        <v>-2</v>
      </c>
      <c r="I4" s="20" t="n">
        <v>-1</v>
      </c>
      <c r="J4" s="21"/>
      <c r="K4" s="22"/>
      <c r="L4" s="22" t="n">
        <v>1</v>
      </c>
      <c r="M4" s="22" t="n">
        <v>2</v>
      </c>
      <c r="N4" s="22" t="n">
        <v>3</v>
      </c>
      <c r="O4" s="22" t="n">
        <v>4</v>
      </c>
      <c r="P4" s="22" t="n">
        <v>5</v>
      </c>
    </row>
    <row r="5" customFormat="false" ht="15" hidden="false" customHeight="false" outlineLevel="0" collapsed="false">
      <c r="D5" s="0" t="s">
        <v>4</v>
      </c>
      <c r="E5" s="23"/>
      <c r="F5" s="23"/>
      <c r="G5" s="24"/>
      <c r="H5" s="23"/>
      <c r="I5" s="23"/>
      <c r="K5" s="3"/>
    </row>
    <row r="6" customFormat="false" ht="15" hidden="false" customHeight="false" outlineLevel="0" collapsed="false">
      <c r="D6" s="0" t="n">
        <v>1</v>
      </c>
      <c r="E6" s="25" t="n">
        <v>41</v>
      </c>
      <c r="F6" s="25" t="n">
        <v>59</v>
      </c>
      <c r="G6" s="25" t="n">
        <v>110</v>
      </c>
      <c r="H6" s="25" t="n">
        <v>126</v>
      </c>
      <c r="I6" s="25" t="n">
        <v>121</v>
      </c>
      <c r="L6" s="7" t="n">
        <v>66</v>
      </c>
      <c r="M6" s="7" t="n">
        <v>181</v>
      </c>
      <c r="N6" s="7" t="n">
        <v>50</v>
      </c>
      <c r="O6" s="26" t="n">
        <v>71.5</v>
      </c>
      <c r="P6" s="7" t="n">
        <v>41</v>
      </c>
    </row>
    <row r="7" customFormat="false" ht="15" hidden="false" customHeight="false" outlineLevel="0" collapsed="false">
      <c r="D7" s="0" t="n">
        <v>2</v>
      </c>
      <c r="E7" s="25" t="n">
        <v>47</v>
      </c>
      <c r="F7" s="25" t="n">
        <v>8</v>
      </c>
      <c r="G7" s="25" t="n">
        <v>55</v>
      </c>
      <c r="H7" s="25" t="n">
        <v>83</v>
      </c>
      <c r="I7" s="25" t="n">
        <v>154</v>
      </c>
      <c r="L7" s="7" t="n">
        <v>40</v>
      </c>
      <c r="M7" s="7" t="n">
        <v>100</v>
      </c>
      <c r="N7" s="7" t="n">
        <v>23</v>
      </c>
      <c r="O7" s="26" t="n">
        <v>40.6666666666667</v>
      </c>
      <c r="P7" s="7" t="n">
        <v>29</v>
      </c>
    </row>
    <row r="8" customFormat="false" ht="15" hidden="false" customHeight="false" outlineLevel="0" collapsed="false">
      <c r="D8" s="0" t="n">
        <v>3</v>
      </c>
      <c r="E8" s="25" t="n">
        <v>13</v>
      </c>
      <c r="F8" s="25" t="n">
        <v>12</v>
      </c>
      <c r="G8" s="25" t="n">
        <v>24</v>
      </c>
      <c r="H8" s="25" t="n">
        <v>61</v>
      </c>
      <c r="I8" s="25" t="n">
        <v>73</v>
      </c>
      <c r="L8" s="7" t="n">
        <v>78</v>
      </c>
      <c r="M8" s="7" t="n">
        <v>77</v>
      </c>
      <c r="N8" s="7" t="n">
        <v>120</v>
      </c>
      <c r="O8" s="26" t="n">
        <v>119.5</v>
      </c>
      <c r="P8" s="7" t="n">
        <v>161</v>
      </c>
    </row>
    <row r="9" customFormat="false" ht="15" hidden="false" customHeight="false" outlineLevel="0" collapsed="false">
      <c r="D9" s="0" t="n">
        <v>4</v>
      </c>
      <c r="E9" s="25" t="n">
        <v>96</v>
      </c>
      <c r="F9" s="25" t="n">
        <v>70</v>
      </c>
      <c r="G9" s="25" t="n">
        <v>104</v>
      </c>
      <c r="H9" s="25" t="n">
        <v>151</v>
      </c>
      <c r="I9" s="25" t="n">
        <v>116</v>
      </c>
      <c r="K9" s="8" t="s">
        <v>5</v>
      </c>
      <c r="L9" s="7" t="n">
        <v>69</v>
      </c>
      <c r="M9" s="7" t="n">
        <v>163</v>
      </c>
      <c r="N9" s="7" t="n">
        <v>74</v>
      </c>
      <c r="O9" s="26" t="n">
        <v>86.3333333333333</v>
      </c>
      <c r="P9" s="7" t="n">
        <v>69</v>
      </c>
    </row>
    <row r="10" customFormat="false" ht="15" hidden="false" customHeight="false" outlineLevel="0" collapsed="false">
      <c r="D10" s="0" t="n">
        <v>5</v>
      </c>
      <c r="E10" s="25" t="n">
        <v>83</v>
      </c>
      <c r="F10" s="25" t="n">
        <v>73</v>
      </c>
      <c r="G10" s="25" t="n">
        <v>124</v>
      </c>
      <c r="H10" s="25" t="n">
        <v>107</v>
      </c>
      <c r="I10" s="25" t="n">
        <v>139</v>
      </c>
      <c r="K10" s="8" t="s">
        <v>6</v>
      </c>
      <c r="L10" s="7" t="n">
        <v>48</v>
      </c>
      <c r="M10" s="7" t="n">
        <v>168</v>
      </c>
      <c r="N10" s="7" t="n">
        <v>102</v>
      </c>
      <c r="O10" s="26" t="n">
        <v>87</v>
      </c>
      <c r="P10" s="7" t="n">
        <v>51</v>
      </c>
    </row>
    <row r="11" customFormat="false" ht="15" hidden="false" customHeight="false" outlineLevel="0" collapsed="false">
      <c r="D11" s="0" t="n">
        <v>6</v>
      </c>
      <c r="E11" s="25" t="n">
        <v>17</v>
      </c>
      <c r="F11" s="25" t="n">
        <v>15</v>
      </c>
      <c r="G11" s="25" t="n">
        <v>30</v>
      </c>
      <c r="H11" s="25" t="n">
        <v>39</v>
      </c>
      <c r="I11" s="25" t="n">
        <v>33</v>
      </c>
      <c r="J11" s="3"/>
      <c r="K11" s="8" t="s">
        <v>7</v>
      </c>
      <c r="L11" s="7" t="n">
        <v>142</v>
      </c>
      <c r="M11" s="7" t="n">
        <v>77</v>
      </c>
      <c r="N11" s="7" t="n">
        <v>140</v>
      </c>
      <c r="O11" s="26" t="n">
        <v>118.166666666667</v>
      </c>
      <c r="P11" s="7" t="n">
        <v>105</v>
      </c>
    </row>
    <row r="12" customFormat="false" ht="15" hidden="false" customHeight="false" outlineLevel="0" collapsed="false">
      <c r="D12" s="0" t="n">
        <v>7</v>
      </c>
      <c r="E12" s="25" t="n">
        <v>27</v>
      </c>
      <c r="F12" s="25" t="n">
        <v>39</v>
      </c>
      <c r="G12" s="25" t="n">
        <v>40</v>
      </c>
      <c r="H12" s="25" t="n">
        <v>60</v>
      </c>
      <c r="I12" s="25" t="n">
        <v>43</v>
      </c>
      <c r="K12" s="8" t="s">
        <v>8</v>
      </c>
      <c r="L12" s="7" t="n">
        <v>88</v>
      </c>
      <c r="M12" s="7" t="n">
        <v>78</v>
      </c>
      <c r="N12" s="7" t="n">
        <v>90</v>
      </c>
      <c r="O12" s="26" t="n">
        <v>71.3333333333333</v>
      </c>
      <c r="P12" s="7" t="n">
        <v>41</v>
      </c>
    </row>
    <row r="13" customFormat="false" ht="15" hidden="false" customHeight="false" outlineLevel="0" collapsed="false">
      <c r="D13" s="0" t="n">
        <v>8</v>
      </c>
      <c r="E13" s="25" t="n">
        <v>179</v>
      </c>
      <c r="F13" s="25" t="n">
        <v>151</v>
      </c>
      <c r="G13" s="25" t="n">
        <v>182</v>
      </c>
      <c r="H13" s="25" t="n">
        <v>136</v>
      </c>
      <c r="I13" s="25" t="n">
        <v>164</v>
      </c>
      <c r="K13" s="8" t="s">
        <v>9</v>
      </c>
      <c r="L13" s="7" t="n">
        <v>39</v>
      </c>
      <c r="M13" s="7" t="n">
        <v>144</v>
      </c>
      <c r="N13" s="7" t="n">
        <v>45</v>
      </c>
      <c r="O13" s="26" t="n">
        <v>73.8333333333333</v>
      </c>
      <c r="P13" s="7" t="n">
        <v>85</v>
      </c>
    </row>
    <row r="14" customFormat="false" ht="15" hidden="false" customHeight="false" outlineLevel="0" collapsed="false">
      <c r="D14" s="0" t="n">
        <v>9</v>
      </c>
      <c r="E14" s="25" t="n">
        <v>24</v>
      </c>
      <c r="F14" s="25" t="n">
        <v>8</v>
      </c>
      <c r="G14" s="25" t="n">
        <v>28</v>
      </c>
      <c r="H14" s="25" t="n">
        <v>47</v>
      </c>
      <c r="I14" s="25" t="n">
        <v>63</v>
      </c>
      <c r="K14" s="8" t="s">
        <v>7</v>
      </c>
      <c r="L14" s="7" t="n">
        <v>37</v>
      </c>
      <c r="M14" s="7" t="n">
        <v>21</v>
      </c>
      <c r="N14" s="7" t="n">
        <v>25</v>
      </c>
      <c r="O14" s="26" t="n">
        <v>25.3333333333333</v>
      </c>
      <c r="P14" s="7" t="n">
        <v>22</v>
      </c>
    </row>
    <row r="15" customFormat="false" ht="15" hidden="false" customHeight="false" outlineLevel="0" collapsed="false">
      <c r="D15" s="0" t="n">
        <v>10</v>
      </c>
      <c r="E15" s="25" t="n">
        <v>55</v>
      </c>
      <c r="F15" s="25" t="n">
        <v>75</v>
      </c>
      <c r="G15" s="25" t="n">
        <v>118</v>
      </c>
      <c r="H15" s="25" t="n">
        <v>90</v>
      </c>
      <c r="I15" s="25" t="n">
        <v>53</v>
      </c>
      <c r="K15" s="8" t="s">
        <v>10</v>
      </c>
      <c r="L15" s="7" t="n">
        <v>113</v>
      </c>
      <c r="M15" s="7" t="n">
        <v>156</v>
      </c>
      <c r="N15" s="7" t="n">
        <v>99</v>
      </c>
      <c r="O15" s="26" t="n">
        <v>106.833333333333</v>
      </c>
      <c r="P15" s="7" t="n">
        <v>87</v>
      </c>
    </row>
    <row r="16" customFormat="false" ht="15" hidden="false" customHeight="false" outlineLevel="0" collapsed="false">
      <c r="D16" s="0" t="n">
        <v>11</v>
      </c>
      <c r="E16" s="25" t="n">
        <v>30</v>
      </c>
      <c r="F16" s="25" t="n">
        <v>53</v>
      </c>
      <c r="G16" s="25" t="n">
        <v>66</v>
      </c>
      <c r="H16" s="25" t="n">
        <v>69</v>
      </c>
      <c r="I16" s="25" t="n">
        <v>15</v>
      </c>
      <c r="K16" s="8"/>
      <c r="L16" s="7" t="n">
        <v>42</v>
      </c>
      <c r="M16" s="7" t="n">
        <v>58</v>
      </c>
      <c r="N16" s="7" t="n">
        <v>42</v>
      </c>
      <c r="O16" s="26" t="n">
        <v>43.6666666666667</v>
      </c>
      <c r="P16" s="7" t="n">
        <v>39</v>
      </c>
    </row>
    <row r="17" customFormat="false" ht="15" hidden="false" customHeight="false" outlineLevel="0" collapsed="false">
      <c r="D17" s="0" t="n">
        <v>12</v>
      </c>
      <c r="E17" s="25" t="n">
        <v>123</v>
      </c>
      <c r="F17" s="25" t="n">
        <v>52</v>
      </c>
      <c r="G17" s="25" t="n">
        <v>95</v>
      </c>
      <c r="H17" s="25" t="n">
        <v>106</v>
      </c>
      <c r="I17" s="25" t="n">
        <v>132</v>
      </c>
      <c r="J17" s="3"/>
      <c r="K17" s="8" t="s">
        <v>11</v>
      </c>
      <c r="L17" s="7" t="n">
        <v>99</v>
      </c>
      <c r="M17" s="7" t="n">
        <v>164</v>
      </c>
      <c r="N17" s="7" t="n">
        <v>168</v>
      </c>
      <c r="O17" s="26" t="n">
        <v>138.833333333333</v>
      </c>
      <c r="P17" s="7" t="n">
        <v>117</v>
      </c>
    </row>
    <row r="18" customFormat="false" ht="15" hidden="false" customHeight="false" outlineLevel="0" collapsed="false">
      <c r="D18" s="0" t="n">
        <v>13</v>
      </c>
      <c r="E18" s="25" t="n">
        <v>34</v>
      </c>
      <c r="F18" s="25" t="n">
        <v>17</v>
      </c>
      <c r="G18" s="25" t="n">
        <v>37</v>
      </c>
      <c r="H18" s="25" t="n">
        <v>47</v>
      </c>
      <c r="I18" s="25" t="n">
        <v>34</v>
      </c>
      <c r="K18" s="8"/>
      <c r="L18" s="7" t="n">
        <v>84</v>
      </c>
      <c r="M18" s="7" t="n">
        <v>86</v>
      </c>
      <c r="N18" s="7" t="n">
        <v>59</v>
      </c>
      <c r="O18" s="26" t="n">
        <v>75.6666666666667</v>
      </c>
      <c r="P18" s="7" t="n">
        <v>83</v>
      </c>
    </row>
    <row r="19" customFormat="false" ht="15" hidden="false" customHeight="false" outlineLevel="0" collapsed="false">
      <c r="D19" s="0" t="n">
        <v>14</v>
      </c>
      <c r="E19" s="25" t="n">
        <v>16</v>
      </c>
      <c r="F19" s="25" t="n">
        <v>13</v>
      </c>
      <c r="G19" s="25" t="n">
        <v>27</v>
      </c>
      <c r="H19" s="25" t="n">
        <v>42</v>
      </c>
      <c r="I19" s="25" t="n">
        <v>45</v>
      </c>
      <c r="J19" s="3"/>
      <c r="K19" s="8" t="s">
        <v>7</v>
      </c>
      <c r="L19" s="7" t="n">
        <v>59</v>
      </c>
      <c r="M19" s="7" t="n">
        <v>42</v>
      </c>
      <c r="N19" s="7" t="n">
        <v>31</v>
      </c>
      <c r="O19" s="26" t="n">
        <v>46.1666666666667</v>
      </c>
      <c r="P19" s="7" t="n">
        <v>57</v>
      </c>
    </row>
    <row r="20" customFormat="false" ht="15" hidden="false" customHeight="false" outlineLevel="0" collapsed="false">
      <c r="D20" s="0" t="n">
        <v>15</v>
      </c>
      <c r="E20" s="25" t="n">
        <v>23</v>
      </c>
      <c r="F20" s="25" t="n">
        <v>7</v>
      </c>
      <c r="G20" s="25" t="n">
        <v>31</v>
      </c>
      <c r="H20" s="25" t="n">
        <v>43</v>
      </c>
      <c r="I20" s="25" t="n">
        <v>25</v>
      </c>
      <c r="J20" s="3"/>
      <c r="K20" s="8" t="s">
        <v>9</v>
      </c>
      <c r="L20" s="7" t="n">
        <v>64</v>
      </c>
      <c r="M20" s="7" t="n">
        <v>53</v>
      </c>
      <c r="N20" s="7" t="n">
        <v>31</v>
      </c>
      <c r="O20" s="26" t="n">
        <v>40.1666666666667</v>
      </c>
      <c r="P20" s="7" t="n">
        <v>31</v>
      </c>
    </row>
    <row r="21" customFormat="false" ht="15" hidden="false" customHeight="false" outlineLevel="0" collapsed="false">
      <c r="D21" s="0" t="n">
        <v>16</v>
      </c>
      <c r="E21" s="25" t="n">
        <v>46</v>
      </c>
      <c r="F21" s="25" t="n">
        <v>52</v>
      </c>
      <c r="G21" s="25" t="n">
        <v>93</v>
      </c>
      <c r="H21" s="25" t="n">
        <v>67</v>
      </c>
      <c r="I21" s="25" t="n">
        <f aca="false">AVERAGE(G21:H21)</f>
        <v>80</v>
      </c>
      <c r="J21" s="3"/>
      <c r="K21" s="8" t="s">
        <v>12</v>
      </c>
      <c r="L21" s="7" t="n">
        <v>33</v>
      </c>
      <c r="M21" s="7" t="n">
        <v>102</v>
      </c>
      <c r="N21" s="7" t="n">
        <v>29</v>
      </c>
      <c r="O21" s="7" t="n">
        <v>22</v>
      </c>
      <c r="P21" s="7" t="n">
        <v>36</v>
      </c>
    </row>
    <row r="22" customFormat="false" ht="15" hidden="false" customHeight="false" outlineLevel="0" collapsed="false">
      <c r="D22" s="0" t="n">
        <v>17</v>
      </c>
      <c r="E22" s="25" t="n">
        <v>35</v>
      </c>
      <c r="F22" s="25" t="n">
        <v>70</v>
      </c>
      <c r="G22" s="25" t="n">
        <v>139</v>
      </c>
      <c r="H22" s="25" t="n">
        <v>64</v>
      </c>
      <c r="I22" s="25" t="n">
        <f aca="false">AVERAGE(G22:H22)</f>
        <v>101.5</v>
      </c>
      <c r="J22" s="3"/>
      <c r="K22" s="8" t="s">
        <v>13</v>
      </c>
      <c r="L22" s="7" t="n">
        <v>72</v>
      </c>
      <c r="M22" s="7" t="n">
        <v>139</v>
      </c>
      <c r="N22" s="7" t="n">
        <v>76</v>
      </c>
      <c r="O22" s="7" t="n">
        <v>58</v>
      </c>
      <c r="P22" s="7" t="n">
        <v>52</v>
      </c>
    </row>
    <row r="23" customFormat="false" ht="15" hidden="false" customHeight="false" outlineLevel="0" collapsed="false">
      <c r="D23" s="0" t="n">
        <v>18</v>
      </c>
      <c r="E23" s="25" t="n">
        <v>27</v>
      </c>
      <c r="F23" s="25" t="n">
        <v>27</v>
      </c>
      <c r="G23" s="25" t="n">
        <v>68</v>
      </c>
      <c r="H23" s="25" t="n">
        <v>48</v>
      </c>
      <c r="I23" s="25" t="n">
        <f aca="false">AVERAGE(G23:H23)</f>
        <v>58</v>
      </c>
      <c r="J23" s="3"/>
      <c r="K23" s="8" t="s">
        <v>14</v>
      </c>
      <c r="L23" s="7" t="n">
        <v>161</v>
      </c>
      <c r="M23" s="7" t="n">
        <v>121</v>
      </c>
      <c r="N23" s="7" t="n">
        <v>76</v>
      </c>
      <c r="O23" s="7" t="n">
        <v>43</v>
      </c>
      <c r="P23" s="7" t="n">
        <v>61</v>
      </c>
    </row>
    <row r="24" customFormat="false" ht="15" hidden="false" customHeight="false" outlineLevel="0" collapsed="false">
      <c r="D24" s="0" t="n">
        <v>19</v>
      </c>
      <c r="E24" s="25" t="n">
        <v>51</v>
      </c>
      <c r="F24" s="25" t="n">
        <v>30</v>
      </c>
      <c r="G24" s="25" t="n">
        <v>92</v>
      </c>
      <c r="H24" s="25" t="n">
        <v>63</v>
      </c>
      <c r="I24" s="25" t="n">
        <f aca="false">AVERAGE(G24:H24)</f>
        <v>77.5</v>
      </c>
      <c r="J24" s="3"/>
      <c r="K24" s="8" t="s">
        <v>9</v>
      </c>
      <c r="L24" s="7" t="n">
        <v>62</v>
      </c>
      <c r="M24" s="7" t="n">
        <v>131</v>
      </c>
      <c r="N24" s="7" t="n">
        <v>89</v>
      </c>
      <c r="O24" s="7" t="n">
        <v>93</v>
      </c>
      <c r="P24" s="7" t="n">
        <v>95</v>
      </c>
    </row>
    <row r="25" customFormat="false" ht="15" hidden="false" customHeight="false" outlineLevel="0" collapsed="false">
      <c r="D25" s="0" t="n">
        <v>20</v>
      </c>
      <c r="E25" s="25" t="n">
        <v>53</v>
      </c>
      <c r="F25" s="25" t="n">
        <v>69</v>
      </c>
      <c r="G25" s="25" t="n">
        <v>139</v>
      </c>
      <c r="H25" s="25" t="n">
        <v>63</v>
      </c>
      <c r="I25" s="25" t="n">
        <f aca="false">AVERAGE(G25:H25)</f>
        <v>101</v>
      </c>
      <c r="J25" s="3"/>
      <c r="K25" s="8" t="s">
        <v>7</v>
      </c>
      <c r="L25" s="7" t="n">
        <v>61</v>
      </c>
      <c r="M25" s="7" t="n">
        <v>171</v>
      </c>
      <c r="N25" s="7" t="n">
        <v>42</v>
      </c>
      <c r="O25" s="7" t="n">
        <v>97</v>
      </c>
      <c r="P25" s="7" t="n">
        <v>87</v>
      </c>
    </row>
    <row r="26" customFormat="false" ht="15" hidden="false" customHeight="false" outlineLevel="0" collapsed="false">
      <c r="D26" s="0" t="n">
        <v>21</v>
      </c>
      <c r="E26" s="25" t="n">
        <v>52</v>
      </c>
      <c r="F26" s="25" t="n">
        <v>52</v>
      </c>
      <c r="G26" s="25" t="n">
        <v>120</v>
      </c>
      <c r="H26" s="25" t="n">
        <v>150</v>
      </c>
      <c r="I26" s="25" t="n">
        <f aca="false">AVERAGE(G26:H26)</f>
        <v>135</v>
      </c>
      <c r="J26" s="3"/>
      <c r="K26" s="8" t="s">
        <v>10</v>
      </c>
      <c r="L26" s="7" t="n">
        <v>47</v>
      </c>
      <c r="M26" s="7" t="n">
        <v>214</v>
      </c>
      <c r="N26" s="7" t="n">
        <v>94</v>
      </c>
      <c r="O26" s="7" t="n">
        <v>129</v>
      </c>
      <c r="P26" s="7" t="n">
        <v>122</v>
      </c>
    </row>
    <row r="27" customFormat="false" ht="15" hidden="false" customHeight="false" outlineLevel="0" collapsed="false">
      <c r="D27" s="0" t="n">
        <v>22</v>
      </c>
      <c r="E27" s="25" t="n">
        <v>47</v>
      </c>
      <c r="F27" s="25" t="n">
        <v>52</v>
      </c>
      <c r="G27" s="25" t="n">
        <v>100</v>
      </c>
      <c r="H27" s="25"/>
      <c r="I27" s="25" t="n">
        <f aca="false">AVERAGE(G27:H27)</f>
        <v>100</v>
      </c>
      <c r="J27" s="3"/>
      <c r="L27" s="7" t="n">
        <v>59</v>
      </c>
      <c r="M27" s="7" t="n">
        <v>131</v>
      </c>
      <c r="N27" s="7" t="n">
        <v>43</v>
      </c>
      <c r="O27" s="7" t="n">
        <v>60</v>
      </c>
      <c r="P27" s="7" t="n">
        <v>39</v>
      </c>
    </row>
    <row r="28" customFormat="false" ht="15" hidden="false" customHeight="false" outlineLevel="0" collapsed="false">
      <c r="D28" s="0" t="n">
        <v>23</v>
      </c>
      <c r="E28" s="25" t="n">
        <v>66</v>
      </c>
      <c r="F28" s="25" t="n">
        <v>41</v>
      </c>
      <c r="G28" s="25" t="n">
        <v>105</v>
      </c>
      <c r="H28" s="25" t="n">
        <v>73</v>
      </c>
      <c r="I28" s="25" t="n">
        <f aca="false">AVERAGE(G28:H28)</f>
        <v>89</v>
      </c>
      <c r="J28" s="3"/>
      <c r="L28" s="7" t="n">
        <v>25</v>
      </c>
      <c r="M28" s="7" t="n">
        <v>127</v>
      </c>
      <c r="N28" s="7" t="n">
        <v>18</v>
      </c>
      <c r="O28" s="7" t="n">
        <v>20</v>
      </c>
      <c r="P28" s="7" t="n">
        <v>33</v>
      </c>
    </row>
    <row r="29" customFormat="false" ht="15" hidden="false" customHeight="false" outlineLevel="0" collapsed="false">
      <c r="D29" s="0" t="n">
        <v>24</v>
      </c>
      <c r="E29" s="25" t="n">
        <v>42</v>
      </c>
      <c r="F29" s="25" t="n">
        <v>52</v>
      </c>
      <c r="G29" s="25" t="n">
        <v>120</v>
      </c>
      <c r="H29" s="25" t="n">
        <v>62</v>
      </c>
      <c r="I29" s="25" t="n">
        <f aca="false">AVERAGE(G29:H29)</f>
        <v>91</v>
      </c>
      <c r="L29" s="7" t="n">
        <v>151</v>
      </c>
      <c r="M29" s="7" t="n">
        <v>70</v>
      </c>
      <c r="N29" s="7" t="n">
        <v>114</v>
      </c>
      <c r="O29" s="7" t="n">
        <v>128</v>
      </c>
      <c r="P29" s="7" t="n">
        <v>85</v>
      </c>
    </row>
    <row r="30" customFormat="false" ht="15" hidden="false" customHeight="false" outlineLevel="0" collapsed="false">
      <c r="D30" s="0" t="n">
        <v>25</v>
      </c>
      <c r="E30" s="25" t="n">
        <v>70</v>
      </c>
      <c r="F30" s="25" t="n">
        <v>40</v>
      </c>
      <c r="G30" s="25" t="n">
        <v>139</v>
      </c>
      <c r="H30" s="25" t="n">
        <v>52</v>
      </c>
      <c r="I30" s="25" t="n">
        <f aca="false">AVERAGE(G30:H30)</f>
        <v>95.5</v>
      </c>
      <c r="L30" s="7" t="n">
        <v>27</v>
      </c>
      <c r="M30" s="7" t="n">
        <v>61</v>
      </c>
      <c r="N30" s="7" t="n">
        <v>19</v>
      </c>
      <c r="O30" s="7" t="n">
        <v>36</v>
      </c>
      <c r="P30" s="7" t="n">
        <v>18</v>
      </c>
    </row>
    <row r="31" customFormat="false" ht="15" hidden="false" customHeight="false" outlineLevel="0" collapsed="false">
      <c r="D31" s="0" t="n">
        <v>26</v>
      </c>
      <c r="E31" s="25" t="n">
        <v>33</v>
      </c>
      <c r="F31" s="25" t="n">
        <v>47</v>
      </c>
      <c r="G31" s="25" t="n">
        <v>70</v>
      </c>
      <c r="H31" s="25" t="n">
        <v>57</v>
      </c>
      <c r="I31" s="25" t="n">
        <f aca="false">AVERAGE(G31:H31)</f>
        <v>63.5</v>
      </c>
      <c r="L31" s="7" t="n">
        <v>24</v>
      </c>
      <c r="M31" s="7" t="n">
        <v>68</v>
      </c>
      <c r="N31" s="7" t="n">
        <v>34</v>
      </c>
      <c r="O31" s="7" t="n">
        <v>26</v>
      </c>
      <c r="P31" s="7" t="n">
        <v>44</v>
      </c>
    </row>
    <row r="32" customFormat="false" ht="15" hidden="false" customHeight="false" outlineLevel="0" collapsed="false">
      <c r="D32" s="0" t="n">
        <v>27</v>
      </c>
      <c r="E32" s="25" t="n">
        <v>54</v>
      </c>
      <c r="F32" s="25" t="n">
        <v>44</v>
      </c>
      <c r="G32" s="25" t="n">
        <v>113</v>
      </c>
      <c r="H32" s="25" t="n">
        <v>114</v>
      </c>
      <c r="I32" s="25" t="n">
        <f aca="false">AVERAGE(G32:H32)</f>
        <v>113.5</v>
      </c>
      <c r="L32" s="7" t="n">
        <v>73</v>
      </c>
      <c r="M32" s="7" t="n">
        <v>162</v>
      </c>
      <c r="N32" s="7" t="n">
        <v>48</v>
      </c>
      <c r="O32" s="7" t="n">
        <v>100</v>
      </c>
      <c r="P32" s="7" t="n">
        <v>39</v>
      </c>
    </row>
    <row r="33" customFormat="false" ht="15" hidden="false" customHeight="false" outlineLevel="0" collapsed="false">
      <c r="D33" s="0" t="n">
        <v>28</v>
      </c>
      <c r="E33" s="25" t="n">
        <v>49</v>
      </c>
      <c r="F33" s="25" t="n">
        <v>63</v>
      </c>
      <c r="G33" s="25" t="n">
        <v>165</v>
      </c>
      <c r="H33" s="25" t="n">
        <v>51</v>
      </c>
      <c r="I33" s="25" t="n">
        <f aca="false">AVERAGE(G33:H33)</f>
        <v>108</v>
      </c>
      <c r="L33" s="7" t="n">
        <v>22</v>
      </c>
      <c r="M33" s="7" t="n">
        <v>116</v>
      </c>
      <c r="N33" s="7" t="n">
        <v>55</v>
      </c>
      <c r="O33" s="7" t="n">
        <v>69</v>
      </c>
      <c r="P33" s="7" t="n">
        <v>24</v>
      </c>
    </row>
    <row r="34" customFormat="false" ht="15" hidden="false" customHeight="false" outlineLevel="0" collapsed="false">
      <c r="D34" s="0" t="n">
        <v>29</v>
      </c>
      <c r="E34" s="25" t="n">
        <v>35</v>
      </c>
      <c r="F34" s="25" t="n">
        <v>38</v>
      </c>
      <c r="G34" s="25" t="n">
        <v>83</v>
      </c>
      <c r="H34" s="25" t="n">
        <v>59</v>
      </c>
      <c r="I34" s="25" t="n">
        <f aca="false">AVERAGE(G34:H34)</f>
        <v>71</v>
      </c>
      <c r="L34" s="7" t="n">
        <v>20</v>
      </c>
      <c r="M34" s="7" t="n">
        <v>81</v>
      </c>
      <c r="N34" s="7" t="n">
        <v>24</v>
      </c>
      <c r="O34" s="7" t="n">
        <v>40</v>
      </c>
      <c r="P34" s="7" t="n">
        <v>23</v>
      </c>
    </row>
    <row r="35" customFormat="false" ht="15" hidden="false" customHeight="false" outlineLevel="0" collapsed="false">
      <c r="D35" s="0" t="n">
        <v>30</v>
      </c>
      <c r="E35" s="25" t="n">
        <v>138</v>
      </c>
      <c r="F35" s="25" t="n">
        <v>56</v>
      </c>
      <c r="G35" s="25" t="n">
        <v>127</v>
      </c>
      <c r="H35" s="25" t="n">
        <v>203</v>
      </c>
      <c r="I35" s="25" t="n">
        <v>165</v>
      </c>
      <c r="L35" s="7" t="n">
        <v>73</v>
      </c>
      <c r="M35" s="7" t="n">
        <v>155</v>
      </c>
      <c r="N35" s="7" t="n">
        <v>106</v>
      </c>
      <c r="O35" s="7" t="n">
        <v>105</v>
      </c>
      <c r="P35" s="7" t="n">
        <v>94</v>
      </c>
    </row>
    <row r="36" customFormat="false" ht="15" hidden="false" customHeight="false" outlineLevel="0" collapsed="false">
      <c r="D36" s="0" t="n">
        <v>31</v>
      </c>
      <c r="E36" s="25" t="n">
        <v>41</v>
      </c>
      <c r="F36" s="25" t="n">
        <v>57</v>
      </c>
      <c r="G36" s="25" t="n">
        <v>107</v>
      </c>
      <c r="H36" s="25" t="n">
        <v>156</v>
      </c>
      <c r="I36" s="25" t="n">
        <v>112</v>
      </c>
      <c r="L36" s="7" t="n">
        <v>87</v>
      </c>
      <c r="M36" s="7" t="n">
        <v>167</v>
      </c>
      <c r="N36" s="7" t="n">
        <v>88</v>
      </c>
      <c r="O36" s="7" t="n">
        <v>150</v>
      </c>
      <c r="P36" s="7" t="n">
        <v>140</v>
      </c>
    </row>
    <row r="37" customFormat="false" ht="15" hidden="false" customHeight="false" outlineLevel="0" collapsed="false">
      <c r="D37" s="0" t="n">
        <v>32</v>
      </c>
      <c r="E37" s="25" t="n">
        <v>92</v>
      </c>
      <c r="F37" s="25" t="n">
        <v>91</v>
      </c>
      <c r="G37" s="25" t="n">
        <v>155</v>
      </c>
      <c r="H37" s="25" t="n">
        <v>176</v>
      </c>
      <c r="I37" s="25" t="n">
        <v>191</v>
      </c>
      <c r="L37" s="7" t="n">
        <v>140</v>
      </c>
      <c r="M37" s="7" t="n">
        <v>204</v>
      </c>
      <c r="N37" s="7" t="n">
        <v>118</v>
      </c>
      <c r="O37" s="7" t="n">
        <v>224</v>
      </c>
      <c r="P37" s="7" t="n">
        <v>157</v>
      </c>
    </row>
    <row r="38" customFormat="false" ht="15" hidden="false" customHeight="false" outlineLevel="0" collapsed="false">
      <c r="D38" s="0" t="n">
        <v>33</v>
      </c>
      <c r="E38" s="25" t="n">
        <v>58</v>
      </c>
      <c r="F38" s="25" t="n">
        <v>80</v>
      </c>
      <c r="G38" s="25" t="n">
        <v>94</v>
      </c>
      <c r="H38" s="25" t="n">
        <v>92</v>
      </c>
      <c r="I38" s="25" t="n">
        <v>69</v>
      </c>
      <c r="L38" s="7" t="n">
        <v>54</v>
      </c>
      <c r="M38" s="7" t="n">
        <v>100</v>
      </c>
      <c r="N38" s="7" t="n">
        <v>66</v>
      </c>
      <c r="O38" s="7" t="n">
        <v>139</v>
      </c>
      <c r="P38" s="7" t="n">
        <v>87</v>
      </c>
    </row>
    <row r="39" customFormat="false" ht="15" hidden="false" customHeight="false" outlineLevel="0" collapsed="false">
      <c r="D39" s="0" t="n">
        <v>34</v>
      </c>
      <c r="E39" s="25" t="n">
        <v>67</v>
      </c>
      <c r="F39" s="25" t="n">
        <v>75</v>
      </c>
      <c r="G39" s="25" t="n">
        <v>96</v>
      </c>
      <c r="H39" s="25" t="n">
        <v>125</v>
      </c>
      <c r="I39" s="25" t="n">
        <v>79</v>
      </c>
      <c r="L39" s="7" t="n">
        <v>123</v>
      </c>
      <c r="M39" s="7" t="n">
        <v>135</v>
      </c>
      <c r="N39" s="7" t="n">
        <v>89</v>
      </c>
      <c r="O39" s="7" t="n">
        <v>138</v>
      </c>
      <c r="P39" s="7" t="n">
        <v>159</v>
      </c>
    </row>
    <row r="40" customFormat="false" ht="15" hidden="false" customHeight="false" outlineLevel="0" collapsed="false">
      <c r="D40" s="0" t="n">
        <v>35</v>
      </c>
      <c r="E40" s="25" t="n">
        <v>82</v>
      </c>
      <c r="F40" s="25" t="n">
        <v>54</v>
      </c>
      <c r="G40" s="25" t="n">
        <v>112</v>
      </c>
      <c r="H40" s="25" t="n">
        <v>121</v>
      </c>
      <c r="I40" s="25" t="n">
        <v>137</v>
      </c>
      <c r="L40" s="7" t="n">
        <v>77</v>
      </c>
      <c r="M40" s="7" t="n">
        <v>107</v>
      </c>
      <c r="N40" s="7" t="n">
        <v>146</v>
      </c>
      <c r="O40" s="7" t="n">
        <v>188</v>
      </c>
      <c r="P40" s="7" t="n">
        <v>129</v>
      </c>
    </row>
    <row r="41" customFormat="false" ht="15" hidden="false" customHeight="false" outlineLevel="0" collapsed="false">
      <c r="D41" s="0" t="n">
        <v>36</v>
      </c>
      <c r="E41" s="25" t="n">
        <v>24</v>
      </c>
      <c r="F41" s="25" t="n">
        <v>62</v>
      </c>
      <c r="G41" s="25" t="n">
        <v>116</v>
      </c>
      <c r="H41" s="25" t="n">
        <v>54</v>
      </c>
      <c r="I41" s="25" t="n">
        <v>66</v>
      </c>
      <c r="L41" s="7" t="n">
        <v>55</v>
      </c>
      <c r="M41" s="7" t="n">
        <v>129</v>
      </c>
      <c r="N41" s="7" t="n">
        <v>48</v>
      </c>
      <c r="O41" s="7" t="n">
        <v>55</v>
      </c>
      <c r="P41" s="7" t="n">
        <v>95</v>
      </c>
    </row>
    <row r="42" customFormat="false" ht="15" hidden="false" customHeight="false" outlineLevel="0" collapsed="false">
      <c r="D42" s="0" t="n">
        <v>37</v>
      </c>
      <c r="E42" s="25" t="n">
        <v>50</v>
      </c>
      <c r="F42" s="25" t="n">
        <v>43</v>
      </c>
      <c r="G42" s="25" t="n">
        <v>67</v>
      </c>
      <c r="H42" s="25" t="n">
        <v>63</v>
      </c>
      <c r="I42" s="25" t="n">
        <v>50</v>
      </c>
      <c r="L42" s="7" t="n">
        <v>32</v>
      </c>
      <c r="M42" s="7" t="n">
        <v>71</v>
      </c>
      <c r="N42" s="7" t="n">
        <v>48</v>
      </c>
      <c r="O42" s="7" t="n">
        <v>85</v>
      </c>
      <c r="P42" s="7" t="n">
        <v>93</v>
      </c>
    </row>
    <row r="43" customFormat="false" ht="15" hidden="false" customHeight="false" outlineLevel="0" collapsed="false">
      <c r="D43" s="0" t="n">
        <v>38</v>
      </c>
      <c r="E43" s="25" t="n">
        <v>91</v>
      </c>
      <c r="F43" s="25" t="n">
        <v>58</v>
      </c>
      <c r="G43" s="25" t="n">
        <v>113</v>
      </c>
      <c r="H43" s="25" t="n">
        <v>101</v>
      </c>
      <c r="I43" s="25" t="n">
        <v>101</v>
      </c>
      <c r="L43" s="7" t="n">
        <v>13</v>
      </c>
      <c r="M43" s="7" t="n">
        <v>78</v>
      </c>
      <c r="N43" s="7" t="n">
        <v>34</v>
      </c>
      <c r="O43" s="7" t="n">
        <v>52</v>
      </c>
      <c r="P43" s="7" t="n">
        <v>56</v>
      </c>
    </row>
    <row r="44" customFormat="false" ht="15" hidden="false" customHeight="false" outlineLevel="0" collapsed="false">
      <c r="D44" s="0" t="n">
        <v>39</v>
      </c>
      <c r="E44" s="25" t="n">
        <v>41</v>
      </c>
      <c r="F44" s="25" t="n">
        <v>67</v>
      </c>
      <c r="G44" s="25" t="n">
        <v>88</v>
      </c>
      <c r="H44" s="25" t="n">
        <v>102</v>
      </c>
      <c r="I44" s="25" t="n">
        <v>90</v>
      </c>
      <c r="L44" s="7" t="n">
        <v>77</v>
      </c>
      <c r="M44" s="7" t="n">
        <v>68</v>
      </c>
      <c r="N44" s="7" t="n">
        <v>197</v>
      </c>
      <c r="O44" s="7" t="n">
        <v>205</v>
      </c>
      <c r="P44" s="7" t="n">
        <v>125</v>
      </c>
    </row>
    <row r="45" customFormat="false" ht="15" hidden="false" customHeight="false" outlineLevel="0" collapsed="false">
      <c r="K45" s="3"/>
    </row>
    <row r="46" customFormat="false" ht="15" hidden="false" customHeight="false" outlineLevel="0" collapsed="false">
      <c r="D46" s="0" t="s">
        <v>15</v>
      </c>
      <c r="E46" s="11" t="n">
        <f aca="false">AVERAGE(E6:E44)</f>
        <v>55.1794871794872</v>
      </c>
      <c r="F46" s="11" t="n">
        <f aca="false">AVERAGE(F6:F44)</f>
        <v>50.5641025641026</v>
      </c>
      <c r="G46" s="11" t="n">
        <f aca="false">AVERAGE(G6:G44)</f>
        <v>94.6666666666667</v>
      </c>
      <c r="H46" s="11" t="n">
        <f aca="false">AVERAGE(H6:H44)</f>
        <v>87.4473684210526</v>
      </c>
      <c r="I46" s="11" t="n">
        <f aca="false">AVERAGE(I6:I44)</f>
        <v>91.1410256410256</v>
      </c>
      <c r="J46" s="27"/>
      <c r="K46" s="27"/>
      <c r="L46" s="11" t="n">
        <f aca="false">AVERAGE(L6:L44)</f>
        <v>67.5897435897436</v>
      </c>
      <c r="M46" s="11" t="n">
        <f aca="false">AVERAGE(M6:M44)</f>
        <v>114.769230769231</v>
      </c>
      <c r="N46" s="11" t="n">
        <f aca="false">AVERAGE(N6:N44)</f>
        <v>71.7948717948718</v>
      </c>
      <c r="O46" s="11" t="n">
        <f aca="false">AVERAGE(O6:O44)</f>
        <v>87.3589743589744</v>
      </c>
      <c r="P46" s="11" t="n">
        <f aca="false">AVERAGE(P6:P44)</f>
        <v>74.6410256410256</v>
      </c>
    </row>
    <row r="47" customFormat="false" ht="15" hidden="false" customHeight="false" outlineLevel="0" collapsed="false">
      <c r="D47" s="0" t="s">
        <v>16</v>
      </c>
      <c r="E47" s="11" t="n">
        <f aca="false">STDEV(E6:E44)</f>
        <v>34.7531685756261</v>
      </c>
      <c r="F47" s="11" t="n">
        <f aca="false">STDEV(F6:F44)</f>
        <v>27.4147433171843</v>
      </c>
      <c r="G47" s="11" t="n">
        <f aca="false">STDEV(G6:G44)</f>
        <v>40.1053437398463</v>
      </c>
      <c r="H47" s="11" t="n">
        <f aca="false">STDEV(H6:H44)</f>
        <v>41.6437253106934</v>
      </c>
      <c r="I47" s="11" t="n">
        <f aca="false">STDEV(I6:I44)</f>
        <v>41.4181101880803</v>
      </c>
      <c r="J47" s="27"/>
      <c r="K47" s="27"/>
      <c r="L47" s="11" t="n">
        <f aca="false">STDEV(L6:L44)</f>
        <v>37.5973948906584</v>
      </c>
      <c r="M47" s="11" t="n">
        <f aca="false">STDEV(M6:M44)</f>
        <v>47.1517491657808</v>
      </c>
      <c r="N47" s="11" t="n">
        <f aca="false">STDEV(N6:N44)</f>
        <v>43.6494284566063</v>
      </c>
      <c r="O47" s="11" t="n">
        <f aca="false">STDEV(O6:O44)</f>
        <v>50.5622703691724</v>
      </c>
      <c r="P47" s="11" t="n">
        <f aca="false">STDEV(P6:P44)</f>
        <v>41.5961075984452</v>
      </c>
    </row>
    <row r="48" customFormat="false" ht="15" hidden="false" customHeight="false" outlineLevel="0" collapsed="false">
      <c r="D48" s="0" t="s">
        <v>17</v>
      </c>
      <c r="E48" s="11" t="n">
        <f aca="false">E47/SQRT(40)</f>
        <v>5.4949584303384</v>
      </c>
      <c r="F48" s="11" t="n">
        <f aca="false">F47/SQRT(40)</f>
        <v>4.33465151755911</v>
      </c>
      <c r="G48" s="11" t="n">
        <f aca="false">G47/SQRT(40)</f>
        <v>6.34121162809449</v>
      </c>
      <c r="H48" s="11" t="n">
        <f aca="false">H47/SQRT(40)</f>
        <v>6.58445111180972</v>
      </c>
      <c r="I48" s="11" t="n">
        <f aca="false">I47/SQRT(40)</f>
        <v>6.54877822870793</v>
      </c>
      <c r="J48" s="27"/>
      <c r="K48" s="27"/>
      <c r="L48" s="11" t="n">
        <f aca="false">L47/SQRT(40)</f>
        <v>5.94467009716288</v>
      </c>
      <c r="M48" s="11" t="n">
        <f aca="false">M47/SQRT(40)</f>
        <v>7.45534615124059</v>
      </c>
      <c r="N48" s="11" t="n">
        <f aca="false">N47/SQRT(40)</f>
        <v>6.90158062437221</v>
      </c>
      <c r="O48" s="11" t="n">
        <f aca="false">O47/SQRT(40)</f>
        <v>7.99459690179138</v>
      </c>
      <c r="P48" s="11" t="n">
        <f aca="false">P47/SQRT(40)</f>
        <v>6.57692209042617</v>
      </c>
    </row>
    <row r="49" customFormat="false" ht="15" hidden="false" customHeight="false" outlineLevel="0" collapsed="false">
      <c r="E49" s="28"/>
      <c r="F49" s="28"/>
      <c r="G49" s="28"/>
      <c r="H49" s="28"/>
      <c r="I49" s="28"/>
      <c r="J49" s="3"/>
      <c r="K49" s="3"/>
      <c r="L49" s="28"/>
      <c r="M49" s="28"/>
      <c r="N49" s="28"/>
      <c r="O49" s="28"/>
      <c r="P49" s="28"/>
    </row>
    <row r="50" customFormat="false" ht="15" hidden="false" customHeight="false" outlineLevel="0" collapsed="false">
      <c r="E50" s="28"/>
      <c r="F50" s="28"/>
      <c r="G50" s="28"/>
      <c r="H50" s="28"/>
      <c r="I50" s="28"/>
      <c r="J50" s="3"/>
      <c r="K50" s="3"/>
      <c r="L50" s="28"/>
      <c r="M50" s="28"/>
      <c r="N50" s="28"/>
      <c r="O50" s="28"/>
      <c r="P50" s="28"/>
    </row>
    <row r="51" customFormat="false" ht="15" hidden="false" customHeight="false" outlineLevel="0" collapsed="false">
      <c r="D51" s="0" t="s">
        <v>15</v>
      </c>
      <c r="E51" s="29" t="n">
        <f aca="false">AVERAGE(E7,E11,E12,E13,E15,E22,E23,E24,E26,E30,E36,E39,E34)</f>
        <v>54.0769230769231</v>
      </c>
      <c r="F51" s="29" t="n">
        <f aca="false">AVERAGE(F7,F11,F12,F13,F15,F22,F23,F24,F26,F30,F36,F39,F34)</f>
        <v>52.0769230769231</v>
      </c>
      <c r="G51" s="29" t="n">
        <f aca="false">AVERAGE(G7,G11,G12,G13,G15,G22,G23,G24,G26,G30,G36,G39,G34)</f>
        <v>97.6153846153846</v>
      </c>
      <c r="H51" s="29" t="n">
        <f aca="false">AVERAGE(H7,H11,H12,H13,H15,H22,H23,H24,H26,H30,H36,H39,H34)</f>
        <v>86.5384615384615</v>
      </c>
      <c r="I51" s="29" t="n">
        <f aca="false">AVERAGE(I7,I11,I12,I13,I15,I22,I23,I24,I26,I30,I36,I39,I34)</f>
        <v>90.5</v>
      </c>
      <c r="J51" s="28"/>
      <c r="K51" s="28"/>
      <c r="L51" s="29" t="n">
        <f aca="false">AVERAGE(L7,L11,L12,L13,L15,L22,L23,L24,L26,L30,L36,L39,L34)</f>
        <v>78.5384615384615</v>
      </c>
      <c r="M51" s="29" t="n">
        <f aca="false">AVERAGE(M7,M11,M12,M13,M15,M22,M23,M24,M26,M30,M36,M39,M34)</f>
        <v>123.384615384615</v>
      </c>
      <c r="N51" s="29" t="n">
        <f aca="false">AVERAGE(N7,N11,N12,N13,N15,N22,N23,N24,N26,N30,N36,N39,N34)</f>
        <v>73.2307692307692</v>
      </c>
      <c r="O51" s="29" t="n">
        <f aca="false">AVERAGE(O7,O11,O12,O13,O15,O22,O23,O24,O26,O30,O36,O39,O34)</f>
        <v>84.4487179487179</v>
      </c>
      <c r="P51" s="29" t="n">
        <f aca="false">AVERAGE(P7,P11,P12,P13,P15,P22,P23,P24,P26,P30,P36,P39,P34)</f>
        <v>78.2307692307692</v>
      </c>
    </row>
    <row r="52" customFormat="false" ht="15" hidden="false" customHeight="false" outlineLevel="0" collapsed="false">
      <c r="B52" s="13" t="s">
        <v>18</v>
      </c>
      <c r="D52" s="14" t="s">
        <v>16</v>
      </c>
      <c r="E52" s="29" t="n">
        <f aca="false">STDEV(E7,E11,E12,E13,E15,E22,E23,E24,E26,E30,E36,E34,E39)</f>
        <v>40.651899378466</v>
      </c>
      <c r="F52" s="29" t="n">
        <f aca="false">STDEV(F7,F11,F12,F13,F15,F22,F23,F24,F26,F30,F36,F34,F39)</f>
        <v>36.6639276366238</v>
      </c>
      <c r="G52" s="29" t="n">
        <f aca="false">STDEV(G7,G11,G12,G13,G15,G22,G23,G24,G26,G30,G36,G34,G39)</f>
        <v>43.1886143590693</v>
      </c>
      <c r="H52" s="29" t="n">
        <f aca="false">STDEV(H7,H11,H12,H13,H15,H22,H23,H24,H26,H30,H36,H34,H39)</f>
        <v>41.0946374940725</v>
      </c>
      <c r="I52" s="29" t="n">
        <f aca="false">STDEV(I7,I11,I12,I13,I15,I22,I23,I24,I26,I30,I36,I34,I39)</f>
        <v>41.5627036335864</v>
      </c>
      <c r="J52" s="28"/>
      <c r="K52" s="28"/>
      <c r="L52" s="29" t="n">
        <f aca="false">STDEV(L7,L11,L12,L13,L15,L22,L23,L24,L26,L30,L36,L34,L39)</f>
        <v>45.2725365326769</v>
      </c>
      <c r="M52" s="29" t="n">
        <f aca="false">STDEV(M7,M11,M12,M13,M15,M22,M23,M24,M26,M30,M36,M34,M39)</f>
        <v>43.2926831029957</v>
      </c>
      <c r="N52" s="29" t="n">
        <f aca="false">STDEV(N7,N11,N12,N13,N15,N22,N23,N24,N26,N30,N36,N34,N39)</f>
        <v>35.649109026159</v>
      </c>
      <c r="O52" s="29" t="n">
        <f aca="false">STDEV(O7,O11,O12,O13,O15,O22,O23,O24,O26,O30,O36,O34,O39)</f>
        <v>40.6229492140712</v>
      </c>
      <c r="P52" s="29" t="n">
        <f aca="false">STDEV(P7,P11,P12,P13,P15,P22,P23,P24,P26,P30,P36,P34,P39)</f>
        <v>45.504860264507</v>
      </c>
    </row>
    <row r="53" customFormat="false" ht="15" hidden="false" customHeight="false" outlineLevel="0" collapsed="false">
      <c r="D53" s="0" t="s">
        <v>17</v>
      </c>
      <c r="E53" s="29" t="n">
        <f aca="false">E52/13</f>
        <v>3.12706918295892</v>
      </c>
      <c r="F53" s="29" t="n">
        <f aca="false">F52/13</f>
        <v>2.82030212589414</v>
      </c>
      <c r="G53" s="29" t="n">
        <f aca="false">G52/13</f>
        <v>3.3222011045438</v>
      </c>
      <c r="H53" s="29" t="n">
        <f aca="false">H52/13</f>
        <v>3.1611259610825</v>
      </c>
      <c r="I53" s="29" t="n">
        <f aca="false">I52/13</f>
        <v>3.19713104873741</v>
      </c>
      <c r="J53" s="28"/>
      <c r="K53" s="28"/>
      <c r="L53" s="29" t="n">
        <f aca="false">L52/13</f>
        <v>3.48250281020592</v>
      </c>
      <c r="M53" s="29" t="n">
        <f aca="false">M52/13</f>
        <v>3.33020639253813</v>
      </c>
      <c r="N53" s="29" t="n">
        <f aca="false">N52/13</f>
        <v>2.74223915585839</v>
      </c>
      <c r="O53" s="29" t="n">
        <f aca="false">O52/13</f>
        <v>3.12484224723624</v>
      </c>
      <c r="P53" s="29" t="n">
        <f aca="false">P52/13</f>
        <v>3.50037386650054</v>
      </c>
    </row>
    <row r="54" customFormat="false" ht="15" hidden="false" customHeight="false" outlineLevel="0" collapsed="false"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</row>
    <row r="55" customFormat="false" ht="15" hidden="false" customHeight="false" outlineLevel="0" collapsed="false">
      <c r="D55" s="0" t="s">
        <v>15</v>
      </c>
      <c r="E55" s="30" t="n">
        <f aca="false">AVERAGE(E8,E14,E16,E18,E25,E27,E31,E33,E40,E35,E35,E37,E38,E43)</f>
        <v>63</v>
      </c>
      <c r="F55" s="30" t="n">
        <f aca="false">AVERAGE(F8,F14,F16,F18,F25,F27,F31,F33,F40,F35,F35,F37,F38,F43)</f>
        <v>51.1428571428571</v>
      </c>
      <c r="G55" s="30" t="n">
        <f aca="false">AVERAGE(G8,G14,G16,G18,G25,G27,G31,G33,G40,G35,G35,G37,G38,G43)</f>
        <v>96.9285714285714</v>
      </c>
      <c r="H55" s="30" t="n">
        <f aca="false">AVERAGE(H8,H14,H16,H18,H25,H27,H31,H33,H40,H35,H35,H37,H38,H43)</f>
        <v>99.3076923076923</v>
      </c>
      <c r="I55" s="30" t="n">
        <f aca="false">AVERAGE(I8,I14,I16,I18,I25,I27,I31,I33,I40,I35,I35,I37,I38,I43)</f>
        <v>98.9642857142857</v>
      </c>
      <c r="J55" s="28"/>
      <c r="K55" s="28"/>
      <c r="L55" s="30" t="n">
        <f aca="false">AVERAGE(L8,L14,L16,L18,L25,L27,L31,L33,L40,L35,L35,L37,L38,L43)</f>
        <v>59.7857142857143</v>
      </c>
      <c r="M55" s="30" t="n">
        <f aca="false">AVERAGE(M8,M14,M16,M18,M25,M27,M31,M33,M40,M35,M35,M37,M38,M43)</f>
        <v>109.071428571429</v>
      </c>
      <c r="N55" s="30" t="n">
        <f aca="false">AVERAGE(N8,N14,N16,N18,N25,N27,N31,N33,N40,N35,N35,N37,N38,N43)</f>
        <v>71.1428571428571</v>
      </c>
      <c r="O55" s="30" t="n">
        <f aca="false">AVERAGE(O8,O14,O16,O18,O25,O27,O31,O33,O40,O35,O35,O37,O38,O43)</f>
        <v>94.9404761904762</v>
      </c>
      <c r="P55" s="30" t="n">
        <f aca="false">AVERAGE(P8,P14,P16,P18,P25,P27,P31,P33,P40,P35,P35,P37,P38,P43)</f>
        <v>79.7142857142857</v>
      </c>
    </row>
    <row r="56" customFormat="false" ht="15" hidden="false" customHeight="false" outlineLevel="0" collapsed="false">
      <c r="B56" s="16" t="s">
        <v>19</v>
      </c>
      <c r="D56" s="14" t="s">
        <v>16</v>
      </c>
      <c r="E56" s="30" t="n">
        <f aca="false">STDEV(E8,E14,E16,E18,E25,E27,E31,E33,E35,E37,E38,E40,E43)</f>
        <v>34.8882832436953</v>
      </c>
      <c r="F56" s="30" t="n">
        <f aca="false">STDEV(F8,F14,F16,F18,F25,F27,F31,F33,F35,F37,F38,F40,F43)</f>
        <v>25.0637648347631</v>
      </c>
      <c r="G56" s="30" t="n">
        <f aca="false">STDEV(G8,G14,G16,G18,G25,G27,G31,G33,G35,G37,G38,G40,G43)</f>
        <v>46.9548337262141</v>
      </c>
      <c r="H56" s="30" t="n">
        <f aca="false">STDEV(H8,H14,H16,H18,H25,H27,H31,H33,H35,H37,H38,H40,H43)</f>
        <v>51.843003092963</v>
      </c>
      <c r="I56" s="30" t="n">
        <f aca="false">STDEV(I8,I14,I16,I18,I25,I27,I31,I33,I35,I37,I38,I40,I43)</f>
        <v>49.5202626230557</v>
      </c>
      <c r="J56" s="28"/>
      <c r="K56" s="28"/>
      <c r="L56" s="30" t="n">
        <f aca="false">STDEV(L8,L14,L16,L18,L25,L27,L31,L33,L35,L37,L38,L40,L43)</f>
        <v>33.6381575153224</v>
      </c>
      <c r="M56" s="30" t="n">
        <f aca="false">STDEV(M8,M14,M16,M18,M25,M27,M31,M33,M35,M37,M38,M40,M43)</f>
        <v>49.9893578418037</v>
      </c>
      <c r="N56" s="30" t="n">
        <f aca="false">STDEV(N8,N14,N16,N18,N25,N27,N31,N33,N35,N37,N38,N40,N43)</f>
        <v>39.9178643897178</v>
      </c>
      <c r="O56" s="30" t="n">
        <f aca="false">STDEV(O8,O14,O16,O18,O25,O27,O31,O33,O35,O37,O38,O40,O43)</f>
        <v>60.7553533687605</v>
      </c>
      <c r="P56" s="30" t="n">
        <f aca="false">STDEV(P8,P14,P16,P18,P25,P27,P31,P33,P35,P37,P38,P40,P43)</f>
        <v>47.3489501142642</v>
      </c>
    </row>
    <row r="57" customFormat="false" ht="15" hidden="false" customHeight="false" outlineLevel="0" collapsed="false">
      <c r="D57" s="0" t="s">
        <v>17</v>
      </c>
      <c r="E57" s="30" t="n">
        <f aca="false">E56/13</f>
        <v>2.68371409566887</v>
      </c>
      <c r="F57" s="30" t="n">
        <f aca="false">F56/13</f>
        <v>1.92798191036639</v>
      </c>
      <c r="G57" s="30" t="n">
        <f aca="false">G56/13</f>
        <v>3.61191028663185</v>
      </c>
      <c r="H57" s="30" t="n">
        <f aca="false">H56/13</f>
        <v>3.98792331484331</v>
      </c>
      <c r="I57" s="30" t="n">
        <f aca="false">I56/13</f>
        <v>3.80925097100429</v>
      </c>
      <c r="J57" s="28"/>
      <c r="K57" s="28"/>
      <c r="L57" s="30" t="n">
        <f aca="false">L56/13</f>
        <v>2.58755057810172</v>
      </c>
      <c r="M57" s="30" t="n">
        <f aca="false">M56/13</f>
        <v>3.84533521860028</v>
      </c>
      <c r="N57" s="30" t="n">
        <f aca="false">N56/13</f>
        <v>3.07060495305521</v>
      </c>
      <c r="O57" s="30" t="n">
        <f aca="false">O56/13</f>
        <v>4.67348872067389</v>
      </c>
      <c r="P57" s="30" t="n">
        <f aca="false">P56/13</f>
        <v>3.64222693186647</v>
      </c>
    </row>
    <row r="58" customFormat="false" ht="15" hidden="false" customHeight="false" outlineLevel="0" collapsed="false"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</row>
    <row r="59" customFormat="false" ht="15" hidden="false" customHeight="false" outlineLevel="0" collapsed="false">
      <c r="D59" s="0" t="s">
        <v>15</v>
      </c>
      <c r="E59" s="31" t="n">
        <f aca="false">AVERAGE(E6,E9,E10,E17,E19,E20,E21,E28,E29,E32,E32,E41,E42,E44)</f>
        <v>54.2142857142857</v>
      </c>
      <c r="F59" s="31" t="n">
        <f aca="false">AVERAGE(F6,F9,F10,F17,F19,F20,F21,F28,F29,F32,F32,F41,F42,F44)</f>
        <v>48.5</v>
      </c>
      <c r="G59" s="31" t="n">
        <f aca="false">AVERAGE(G6,G9,G10,G17,G19,G20,G21,G28,G29,G32,G32,G41,G42,G44)</f>
        <v>93.2857142857143</v>
      </c>
      <c r="H59" s="31" t="n">
        <f aca="false">AVERAGE(H6,H9,H10,H17,H19,H20,H21,H28,H29,H32,H32,H41,H42,H44)</f>
        <v>87.4285714285714</v>
      </c>
      <c r="I59" s="31" t="n">
        <f aca="false">AVERAGE(I6,I9,I10,I17,I19,I20,I21,I28,I29,I32,I32,I41,I42,I44)</f>
        <v>90.7857142857143</v>
      </c>
      <c r="J59" s="28"/>
      <c r="K59" s="28"/>
      <c r="L59" s="31" t="n">
        <f aca="false">AVERAGE(L6,L9,L10,L17,L19,L20,L21,L28,L29,L32,L32,L41,L42,L44)</f>
        <v>66</v>
      </c>
      <c r="M59" s="31" t="n">
        <f aca="false">AVERAGE(M6,M9,M10,M17,M19,M20,M21,M28,M29,M32,M32,M41,M42,M44)</f>
        <v>118.714285714286</v>
      </c>
      <c r="N59" s="31" t="n">
        <f aca="false">AVERAGE(N6,N9,N10,N17,N19,N20,N21,N28,N29,N32,N32,N41,N42,N44)</f>
        <v>71.8571428571429</v>
      </c>
      <c r="O59" s="31" t="n">
        <f aca="false">AVERAGE(O6,O9,O10,O17,O19,O20,O21,O28,O29,O32,O32,O41,O42,O44)</f>
        <v>84.6428571428571</v>
      </c>
      <c r="P59" s="31" t="n">
        <f aca="false">AVERAGE(P6,P9,P10,P17,P19,P20,P21,P28,P29,P32,P32,P41,P42,P44)</f>
        <v>65.0714285714286</v>
      </c>
    </row>
    <row r="60" customFormat="false" ht="15" hidden="false" customHeight="false" outlineLevel="0" collapsed="false">
      <c r="B60" s="32" t="s">
        <v>23</v>
      </c>
      <c r="D60" s="14" t="s">
        <v>16</v>
      </c>
      <c r="E60" s="31" t="n">
        <f aca="false">STDEV(E6,E9,E10,E17,E19,E20,E21,E21,E28,E29,E32,E41,E42,E44)</f>
        <v>29.6637752223071</v>
      </c>
      <c r="F60" s="31" t="n">
        <f aca="false">STDEV(F6,F9,F10,F17,F19,F20,F21,F21,F28,F29,F32,F41,F42,F44)</f>
        <v>19.2771857414377</v>
      </c>
      <c r="G60" s="31" t="n">
        <f aca="false">STDEV(G6,G9,G10,G17,G19,G20,G21,G21,G28,G29,G32,G41,G42,G44)</f>
        <v>30.457680963434</v>
      </c>
      <c r="H60" s="31" t="n">
        <f aca="false">STDEV(H6,H9,H10,H17,H19,H20,H21,H21,H28,H29,H32,H41,H42,H44)</f>
        <v>33.3500416000531</v>
      </c>
      <c r="I60" s="31" t="n">
        <f aca="false">STDEV(I6,I9,I10,I17,I19,I20,I21,I21,I28,I29,I32,I41,I42,I44)</f>
        <v>33.9072142150336</v>
      </c>
      <c r="J60" s="28"/>
      <c r="K60" s="28"/>
      <c r="L60" s="31" t="n">
        <f aca="false">STDEV(L6,L9,L10,L17,L19,L20,L21,L21,L28,L29,L32,L41,L42,L44)</f>
        <v>32.6893469894002</v>
      </c>
      <c r="M60" s="31" t="n">
        <f aca="false">STDEV(M6,M9,M10,M17,M19,M20,M21,M21,M28,M29,M32,M41,M42,M44)</f>
        <v>48.1147894834111</v>
      </c>
      <c r="N60" s="31" t="n">
        <f aca="false">STDEV(N6,N9,N10,N17,N19,N20,N21,N21,N28,N29,N32,N41,N42,N44)</f>
        <v>55.2375986778237</v>
      </c>
      <c r="O60" s="31" t="n">
        <f aca="false">STDEV(O6,O9,O10,O17,O19,O20,O21,O21,O28,O29,O32,O41,O42,O44)</f>
        <v>52.3663424513668</v>
      </c>
      <c r="P60" s="31" t="n">
        <f aca="false">STDEV(P6,P9,P10,P17,P19,P20,P21,P21,P28,P29,P32,P41,P42,P44)</f>
        <v>32.5549408819026</v>
      </c>
    </row>
    <row r="61" customFormat="false" ht="15" hidden="false" customHeight="false" outlineLevel="0" collapsed="false">
      <c r="D61" s="0" t="s">
        <v>17</v>
      </c>
      <c r="E61" s="31" t="n">
        <f aca="false">E60/13</f>
        <v>2.28182886325439</v>
      </c>
      <c r="F61" s="31" t="n">
        <f aca="false">F60/13</f>
        <v>1.48286044164906</v>
      </c>
      <c r="G61" s="31" t="n">
        <f aca="false">G60/13</f>
        <v>2.34289853564877</v>
      </c>
      <c r="H61" s="31" t="n">
        <f aca="false">H60/13</f>
        <v>2.5653878153887</v>
      </c>
      <c r="I61" s="31" t="n">
        <f aca="false">I60/13</f>
        <v>2.60824724731028</v>
      </c>
      <c r="J61" s="28"/>
      <c r="K61" s="28"/>
      <c r="L61" s="31" t="n">
        <f aca="false">L60/13</f>
        <v>2.51456515303078</v>
      </c>
      <c r="M61" s="31" t="n">
        <f aca="false">M60/13</f>
        <v>3.70113765257008</v>
      </c>
      <c r="N61" s="31" t="n">
        <f aca="false">N60/13</f>
        <v>4.24904605214028</v>
      </c>
      <c r="O61" s="31" t="n">
        <f aca="false">O60/13</f>
        <v>4.02818018856668</v>
      </c>
      <c r="P61" s="31" t="n">
        <f aca="false">P60/13</f>
        <v>2.50422622168482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7:R60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F11" activeCellId="1" sqref="F47:F48 F11"/>
    </sheetView>
  </sheetViews>
  <sheetFormatPr defaultColWidth="8.6796875" defaultRowHeight="15" zeroHeight="false" outlineLevelRow="0" outlineLevelCol="0"/>
  <cols>
    <col collapsed="false" customWidth="true" hidden="false" outlineLevel="0" max="12" min="12" style="3" width="9.14"/>
  </cols>
  <sheetData>
    <row r="7" customFormat="false" ht="15" hidden="false" customHeight="false" outlineLevel="0" collapsed="false">
      <c r="M7" s="19"/>
    </row>
    <row r="9" customFormat="false" ht="15" hidden="false" customHeight="false" outlineLevel="0" collapsed="false">
      <c r="G9" s="2" t="s">
        <v>24</v>
      </c>
      <c r="H9" s="33"/>
      <c r="I9" s="33"/>
      <c r="J9" s="33"/>
      <c r="K9" s="2"/>
      <c r="N9" s="2" t="s">
        <v>24</v>
      </c>
      <c r="O9" s="33"/>
      <c r="P9" s="33"/>
      <c r="Q9" s="33"/>
      <c r="R9" s="2"/>
    </row>
    <row r="10" customFormat="false" ht="15" hidden="false" customHeight="false" outlineLevel="0" collapsed="false">
      <c r="G10" s="0" t="n">
        <v>-5</v>
      </c>
      <c r="H10" s="0" t="n">
        <v>-4</v>
      </c>
      <c r="I10" s="0" t="n">
        <v>-3</v>
      </c>
      <c r="J10" s="0" t="n">
        <v>-2</v>
      </c>
      <c r="K10" s="0" t="n">
        <v>-1</v>
      </c>
      <c r="N10" s="0" t="n">
        <v>1</v>
      </c>
      <c r="O10" s="0" t="n">
        <v>2</v>
      </c>
      <c r="P10" s="0" t="n">
        <v>3</v>
      </c>
      <c r="Q10" s="0" t="n">
        <v>4</v>
      </c>
      <c r="R10" s="0" t="n">
        <v>5</v>
      </c>
    </row>
    <row r="11" customFormat="false" ht="15" hidden="false" customHeight="false" outlineLevel="0" collapsed="false">
      <c r="F11" s="0" t="s">
        <v>4</v>
      </c>
      <c r="G11" s="34"/>
      <c r="H11" s="34"/>
      <c r="I11" s="34"/>
      <c r="J11" s="34"/>
      <c r="K11" s="34"/>
      <c r="L11" s="24"/>
    </row>
    <row r="12" customFormat="false" ht="15" hidden="false" customHeight="false" outlineLevel="0" collapsed="false">
      <c r="F12" s="0" t="n">
        <v>1</v>
      </c>
      <c r="G12" s="25" t="n">
        <v>32</v>
      </c>
      <c r="H12" s="25" t="n">
        <v>59</v>
      </c>
      <c r="I12" s="6" t="n">
        <v>28</v>
      </c>
      <c r="J12" s="25" t="n">
        <v>41</v>
      </c>
      <c r="K12" s="25" t="n">
        <v>68</v>
      </c>
      <c r="L12" s="35"/>
      <c r="M12" s="3"/>
      <c r="N12" s="7" t="n">
        <v>129</v>
      </c>
      <c r="O12" s="7" t="n">
        <v>112</v>
      </c>
      <c r="P12" s="7" t="n">
        <v>152</v>
      </c>
      <c r="Q12" s="7" t="n">
        <v>117</v>
      </c>
      <c r="R12" s="7" t="n">
        <v>73</v>
      </c>
    </row>
    <row r="13" customFormat="false" ht="15" hidden="false" customHeight="false" outlineLevel="0" collapsed="false">
      <c r="F13" s="0" t="n">
        <v>2</v>
      </c>
      <c r="G13" s="25" t="n">
        <v>51</v>
      </c>
      <c r="H13" s="25" t="n">
        <v>63</v>
      </c>
      <c r="I13" s="6" t="n">
        <v>57</v>
      </c>
      <c r="J13" s="25" t="n">
        <v>70</v>
      </c>
      <c r="K13" s="25" t="n">
        <v>46</v>
      </c>
      <c r="L13" s="35"/>
      <c r="N13" s="7" t="n">
        <v>82</v>
      </c>
      <c r="O13" s="7" t="n">
        <v>49</v>
      </c>
      <c r="P13" s="7" t="n">
        <v>61</v>
      </c>
      <c r="Q13" s="7" t="n">
        <v>79</v>
      </c>
      <c r="R13" s="7" t="n">
        <v>95</v>
      </c>
    </row>
    <row r="14" customFormat="false" ht="15" hidden="false" customHeight="false" outlineLevel="0" collapsed="false">
      <c r="F14" s="0" t="n">
        <v>3</v>
      </c>
      <c r="G14" s="25" t="n">
        <v>60</v>
      </c>
      <c r="H14" s="25" t="n">
        <v>71</v>
      </c>
      <c r="I14" s="6" t="n">
        <v>78</v>
      </c>
      <c r="J14" s="25" t="n">
        <v>127</v>
      </c>
      <c r="K14" s="25" t="n">
        <v>79</v>
      </c>
      <c r="L14" s="35"/>
      <c r="N14" s="7" t="n">
        <v>70</v>
      </c>
      <c r="O14" s="7" t="n">
        <v>47</v>
      </c>
      <c r="P14" s="7" t="n">
        <v>44</v>
      </c>
      <c r="Q14" s="7" t="n">
        <v>64</v>
      </c>
      <c r="R14" s="7" t="n">
        <v>50</v>
      </c>
    </row>
    <row r="15" customFormat="false" ht="15" hidden="false" customHeight="false" outlineLevel="0" collapsed="false">
      <c r="F15" s="0" t="n">
        <v>4</v>
      </c>
      <c r="G15" s="25" t="n">
        <v>31</v>
      </c>
      <c r="H15" s="25" t="n">
        <v>50</v>
      </c>
      <c r="I15" s="6" t="n">
        <v>42</v>
      </c>
      <c r="J15" s="25" t="n">
        <v>45</v>
      </c>
      <c r="K15" s="25" t="n">
        <v>53</v>
      </c>
      <c r="L15" s="35"/>
      <c r="N15" s="7" t="n">
        <v>48</v>
      </c>
      <c r="O15" s="7" t="n">
        <v>12</v>
      </c>
      <c r="P15" s="7" t="n">
        <v>14</v>
      </c>
      <c r="Q15" s="7" t="n">
        <v>43</v>
      </c>
      <c r="R15" s="7" t="n">
        <v>54</v>
      </c>
    </row>
    <row r="16" customFormat="false" ht="15" hidden="false" customHeight="false" outlineLevel="0" collapsed="false">
      <c r="F16" s="0" t="n">
        <v>5</v>
      </c>
      <c r="G16" s="25" t="n">
        <v>81</v>
      </c>
      <c r="H16" s="25" t="n">
        <v>72</v>
      </c>
      <c r="I16" s="6" t="n">
        <v>100</v>
      </c>
      <c r="J16" s="25" t="n">
        <v>121</v>
      </c>
      <c r="K16" s="25" t="n">
        <v>61</v>
      </c>
      <c r="L16" s="35"/>
      <c r="M16" s="36" t="s">
        <v>5</v>
      </c>
      <c r="N16" s="7" t="n">
        <v>127</v>
      </c>
      <c r="O16" s="7" t="n">
        <v>63</v>
      </c>
      <c r="P16" s="7" t="n">
        <v>47</v>
      </c>
      <c r="Q16" s="7" t="n">
        <v>68</v>
      </c>
      <c r="R16" s="7" t="n">
        <v>67</v>
      </c>
    </row>
    <row r="17" customFormat="false" ht="15" hidden="false" customHeight="false" outlineLevel="0" collapsed="false">
      <c r="F17" s="0" t="n">
        <v>6</v>
      </c>
      <c r="G17" s="25" t="n">
        <v>35</v>
      </c>
      <c r="H17" s="25" t="n">
        <v>45</v>
      </c>
      <c r="I17" s="6" t="n">
        <v>39</v>
      </c>
      <c r="J17" s="25" t="n">
        <v>30</v>
      </c>
      <c r="K17" s="25" t="n">
        <v>50</v>
      </c>
      <c r="L17" s="35"/>
      <c r="M17" s="36" t="s">
        <v>6</v>
      </c>
      <c r="N17" s="7" t="n">
        <v>65</v>
      </c>
      <c r="O17" s="7" t="n">
        <v>50</v>
      </c>
      <c r="P17" s="7" t="n">
        <v>40</v>
      </c>
      <c r="Q17" s="7" t="n">
        <v>54</v>
      </c>
      <c r="R17" s="7" t="n">
        <v>38</v>
      </c>
    </row>
    <row r="18" customFormat="false" ht="15" hidden="false" customHeight="false" outlineLevel="0" collapsed="false">
      <c r="F18" s="0" t="n">
        <v>7</v>
      </c>
      <c r="G18" s="25" t="n">
        <v>58</v>
      </c>
      <c r="H18" s="25" t="n">
        <v>48</v>
      </c>
      <c r="I18" s="6" t="n">
        <v>36</v>
      </c>
      <c r="J18" s="25" t="n">
        <v>97</v>
      </c>
      <c r="K18" s="25" t="n">
        <v>86</v>
      </c>
      <c r="L18" s="35"/>
      <c r="M18" s="36" t="s">
        <v>7</v>
      </c>
      <c r="N18" s="7" t="n">
        <v>88</v>
      </c>
      <c r="O18" s="7" t="n">
        <v>104</v>
      </c>
      <c r="P18" s="7" t="n">
        <v>54</v>
      </c>
      <c r="Q18" s="7" t="n">
        <v>58</v>
      </c>
      <c r="R18" s="7" t="n">
        <v>86</v>
      </c>
    </row>
    <row r="19" customFormat="false" ht="15" hidden="false" customHeight="false" outlineLevel="0" collapsed="false">
      <c r="F19" s="0" t="n">
        <v>8</v>
      </c>
      <c r="G19" s="25" t="n">
        <v>79</v>
      </c>
      <c r="H19" s="25" t="n">
        <v>85</v>
      </c>
      <c r="I19" s="6" t="n">
        <v>99</v>
      </c>
      <c r="J19" s="25" t="n">
        <v>106</v>
      </c>
      <c r="K19" s="25" t="n">
        <v>110</v>
      </c>
      <c r="L19" s="35"/>
      <c r="M19" s="36" t="s">
        <v>8</v>
      </c>
      <c r="N19" s="7" t="n">
        <v>109</v>
      </c>
      <c r="O19" s="7" t="n">
        <v>98</v>
      </c>
      <c r="P19" s="7" t="n">
        <v>66</v>
      </c>
      <c r="Q19" s="7" t="n">
        <v>70</v>
      </c>
      <c r="R19" s="7" t="n">
        <v>109</v>
      </c>
    </row>
    <row r="20" customFormat="false" ht="15" hidden="false" customHeight="false" outlineLevel="0" collapsed="false">
      <c r="F20" s="0" t="n">
        <v>9</v>
      </c>
      <c r="G20" s="25" t="n">
        <v>42</v>
      </c>
      <c r="H20" s="25" t="n">
        <v>36</v>
      </c>
      <c r="I20" s="6" t="n">
        <v>72</v>
      </c>
      <c r="J20" s="25" t="n">
        <v>81</v>
      </c>
      <c r="K20" s="25" t="n">
        <v>83</v>
      </c>
      <c r="L20" s="35"/>
      <c r="M20" s="36" t="s">
        <v>9</v>
      </c>
      <c r="N20" s="7" t="n">
        <v>80</v>
      </c>
      <c r="O20" s="7" t="n">
        <v>37</v>
      </c>
      <c r="P20" s="7" t="n">
        <v>48</v>
      </c>
      <c r="Q20" s="7" t="n">
        <v>50</v>
      </c>
      <c r="R20" s="7" t="n">
        <v>45</v>
      </c>
    </row>
    <row r="21" customFormat="false" ht="15" hidden="false" customHeight="false" outlineLevel="0" collapsed="false">
      <c r="F21" s="0" t="n">
        <v>10</v>
      </c>
      <c r="G21" s="25" t="n">
        <v>30</v>
      </c>
      <c r="H21" s="25" t="n">
        <v>51</v>
      </c>
      <c r="I21" s="6" t="n">
        <v>57</v>
      </c>
      <c r="J21" s="25" t="n">
        <v>49</v>
      </c>
      <c r="K21" s="25" t="n">
        <v>56</v>
      </c>
      <c r="L21" s="35"/>
      <c r="M21" s="36" t="s">
        <v>7</v>
      </c>
      <c r="N21" s="7" t="n">
        <v>62</v>
      </c>
      <c r="O21" s="7" t="n">
        <v>50</v>
      </c>
      <c r="P21" s="7" t="n">
        <v>56</v>
      </c>
      <c r="Q21" s="7" t="n">
        <v>38</v>
      </c>
      <c r="R21" s="7" t="n">
        <v>57</v>
      </c>
    </row>
    <row r="22" customFormat="false" ht="15" hidden="false" customHeight="false" outlineLevel="0" collapsed="false">
      <c r="F22" s="0" t="n">
        <v>11</v>
      </c>
      <c r="G22" s="25" t="n">
        <v>38</v>
      </c>
      <c r="H22" s="25" t="n">
        <v>43</v>
      </c>
      <c r="I22" s="6" t="n">
        <v>55</v>
      </c>
      <c r="J22" s="25" t="n">
        <v>66</v>
      </c>
      <c r="K22" s="25" t="n">
        <v>51</v>
      </c>
      <c r="L22" s="35"/>
      <c r="M22" s="36" t="s">
        <v>10</v>
      </c>
      <c r="N22" s="7" t="n">
        <v>53</v>
      </c>
      <c r="O22" s="7" t="n">
        <v>39</v>
      </c>
      <c r="P22" s="7" t="n">
        <v>28</v>
      </c>
      <c r="Q22" s="7" t="n">
        <v>36</v>
      </c>
      <c r="R22" s="7" t="n">
        <v>55</v>
      </c>
    </row>
    <row r="23" customFormat="false" ht="15" hidden="false" customHeight="false" outlineLevel="0" collapsed="false">
      <c r="F23" s="0" t="n">
        <v>12</v>
      </c>
      <c r="G23" s="25" t="n">
        <v>48</v>
      </c>
      <c r="H23" s="25" t="n">
        <v>38</v>
      </c>
      <c r="I23" s="6" t="n">
        <v>68</v>
      </c>
      <c r="J23" s="25" t="n">
        <v>45</v>
      </c>
      <c r="K23" s="25" t="n">
        <v>38</v>
      </c>
      <c r="L23" s="35"/>
      <c r="M23" s="36"/>
      <c r="N23" s="7" t="n">
        <v>72</v>
      </c>
      <c r="O23" s="7" t="n">
        <v>61</v>
      </c>
      <c r="P23" s="7" t="n">
        <v>63</v>
      </c>
      <c r="Q23" s="7" t="n">
        <v>59</v>
      </c>
      <c r="R23" s="7" t="n">
        <v>60</v>
      </c>
    </row>
    <row r="24" customFormat="false" ht="15" hidden="false" customHeight="false" outlineLevel="0" collapsed="false">
      <c r="F24" s="0" t="n">
        <v>13</v>
      </c>
      <c r="G24" s="25" t="n">
        <v>53</v>
      </c>
      <c r="H24" s="25" t="n">
        <v>52</v>
      </c>
      <c r="I24" s="6" t="n">
        <v>91</v>
      </c>
      <c r="J24" s="25" t="n">
        <v>82</v>
      </c>
      <c r="K24" s="25" t="n">
        <v>63</v>
      </c>
      <c r="L24" s="35"/>
      <c r="M24" s="36" t="s">
        <v>11</v>
      </c>
      <c r="N24" s="7" t="n">
        <v>105</v>
      </c>
      <c r="O24" s="7" t="n">
        <v>68</v>
      </c>
      <c r="P24" s="7" t="n">
        <v>79</v>
      </c>
      <c r="Q24" s="7" t="n">
        <v>68</v>
      </c>
      <c r="R24" s="7" t="n">
        <v>62</v>
      </c>
    </row>
    <row r="25" customFormat="false" ht="15" hidden="false" customHeight="false" outlineLevel="0" collapsed="false">
      <c r="F25" s="0" t="n">
        <v>14</v>
      </c>
      <c r="G25" s="25" t="n">
        <v>40</v>
      </c>
      <c r="H25" s="25" t="n">
        <v>44</v>
      </c>
      <c r="I25" s="6" t="n">
        <v>46</v>
      </c>
      <c r="J25" s="25" t="n">
        <v>70</v>
      </c>
      <c r="K25" s="25" t="n">
        <v>42</v>
      </c>
      <c r="L25" s="35"/>
      <c r="M25" s="36"/>
      <c r="N25" s="7" t="n">
        <v>67</v>
      </c>
      <c r="O25" s="7" t="n">
        <v>35</v>
      </c>
      <c r="P25" s="7" t="n">
        <v>39</v>
      </c>
      <c r="Q25" s="7" t="n">
        <v>45</v>
      </c>
      <c r="R25" s="7" t="n">
        <v>38</v>
      </c>
    </row>
    <row r="26" customFormat="false" ht="15" hidden="false" customHeight="false" outlineLevel="0" collapsed="false">
      <c r="F26" s="0" t="n">
        <v>15</v>
      </c>
      <c r="G26" s="25" t="n">
        <v>34</v>
      </c>
      <c r="H26" s="25" t="n">
        <v>39</v>
      </c>
      <c r="I26" s="6" t="n">
        <v>47</v>
      </c>
      <c r="J26" s="25" t="n">
        <v>69</v>
      </c>
      <c r="K26" s="25" t="n">
        <v>46</v>
      </c>
      <c r="L26" s="35"/>
      <c r="M26" s="36" t="s">
        <v>7</v>
      </c>
      <c r="N26" s="7" t="n">
        <v>57</v>
      </c>
      <c r="O26" s="7" t="n">
        <v>47</v>
      </c>
      <c r="P26" s="7" t="n">
        <v>16</v>
      </c>
      <c r="Q26" s="7" t="n">
        <v>33</v>
      </c>
      <c r="R26" s="7" t="n">
        <v>40</v>
      </c>
    </row>
    <row r="27" customFormat="false" ht="15" hidden="false" customHeight="false" outlineLevel="0" collapsed="false">
      <c r="F27" s="0" t="n">
        <v>16</v>
      </c>
      <c r="G27" s="25" t="n">
        <v>68</v>
      </c>
      <c r="H27" s="25" t="n">
        <v>41</v>
      </c>
      <c r="I27" s="25" t="n">
        <v>24</v>
      </c>
      <c r="J27" s="25" t="n">
        <v>61</v>
      </c>
      <c r="K27" s="25" t="n">
        <v>67</v>
      </c>
      <c r="L27" s="35"/>
      <c r="M27" s="36" t="s">
        <v>9</v>
      </c>
      <c r="N27" s="7" t="n">
        <v>64</v>
      </c>
      <c r="O27" s="7" t="n">
        <v>62</v>
      </c>
      <c r="P27" s="7" t="n">
        <v>96</v>
      </c>
      <c r="Q27" s="7" t="n">
        <v>65</v>
      </c>
      <c r="R27" s="7" t="n">
        <v>62</v>
      </c>
    </row>
    <row r="28" customFormat="false" ht="15" hidden="false" customHeight="false" outlineLevel="0" collapsed="false">
      <c r="F28" s="0" t="n">
        <v>17</v>
      </c>
      <c r="G28" s="25" t="n">
        <v>67</v>
      </c>
      <c r="H28" s="25" t="n">
        <v>48</v>
      </c>
      <c r="I28" s="25" t="n">
        <v>38</v>
      </c>
      <c r="J28" s="25" t="n">
        <v>82</v>
      </c>
      <c r="K28" s="25" t="n">
        <v>85</v>
      </c>
      <c r="L28" s="35"/>
      <c r="M28" s="36" t="s">
        <v>12</v>
      </c>
      <c r="N28" s="7" t="n">
        <v>91</v>
      </c>
      <c r="O28" s="7" t="n">
        <v>98</v>
      </c>
      <c r="P28" s="7" t="n">
        <v>72</v>
      </c>
      <c r="Q28" s="7" t="n">
        <v>101</v>
      </c>
      <c r="R28" s="7" t="n">
        <v>103</v>
      </c>
    </row>
    <row r="29" customFormat="false" ht="15" hidden="false" customHeight="false" outlineLevel="0" collapsed="false">
      <c r="F29" s="0" t="n">
        <v>18</v>
      </c>
      <c r="G29" s="25" t="n">
        <v>93</v>
      </c>
      <c r="H29" s="25" t="n">
        <v>9</v>
      </c>
      <c r="I29" s="25" t="n">
        <v>10</v>
      </c>
      <c r="J29" s="25" t="n">
        <v>79</v>
      </c>
      <c r="K29" s="25" t="n">
        <v>108</v>
      </c>
      <c r="L29" s="35"/>
      <c r="M29" s="36" t="s">
        <v>13</v>
      </c>
      <c r="N29" s="7" t="n">
        <v>66</v>
      </c>
      <c r="O29" s="7" t="n">
        <v>112</v>
      </c>
      <c r="P29" s="7" t="n">
        <v>92</v>
      </c>
      <c r="Q29" s="7" t="n">
        <v>89</v>
      </c>
      <c r="R29" s="7" t="n">
        <v>87</v>
      </c>
    </row>
    <row r="30" customFormat="false" ht="15" hidden="false" customHeight="false" outlineLevel="0" collapsed="false">
      <c r="F30" s="0" t="n">
        <v>19</v>
      </c>
      <c r="G30" s="6" t="n">
        <v>78</v>
      </c>
      <c r="H30" s="6" t="n">
        <v>49</v>
      </c>
      <c r="I30" s="6" t="n">
        <v>38</v>
      </c>
      <c r="J30" s="6" t="n">
        <v>60</v>
      </c>
      <c r="K30" s="6" t="n">
        <v>57</v>
      </c>
      <c r="M30" s="36" t="s">
        <v>14</v>
      </c>
      <c r="N30" s="7" t="n">
        <v>85</v>
      </c>
      <c r="O30" s="7" t="n">
        <v>72</v>
      </c>
      <c r="P30" s="7" t="n">
        <v>50</v>
      </c>
      <c r="Q30" s="7" t="n">
        <v>87</v>
      </c>
      <c r="R30" s="7" t="n">
        <v>73</v>
      </c>
    </row>
    <row r="31" customFormat="false" ht="15" hidden="false" customHeight="false" outlineLevel="0" collapsed="false">
      <c r="F31" s="0" t="n">
        <v>20</v>
      </c>
      <c r="G31" s="25" t="n">
        <v>103</v>
      </c>
      <c r="H31" s="25" t="n">
        <v>151</v>
      </c>
      <c r="I31" s="25" t="n">
        <v>85</v>
      </c>
      <c r="J31" s="25" t="n">
        <v>122</v>
      </c>
      <c r="K31" s="25" t="n">
        <v>118</v>
      </c>
      <c r="L31" s="35"/>
      <c r="M31" s="36" t="s">
        <v>9</v>
      </c>
      <c r="N31" s="7" t="n">
        <v>134</v>
      </c>
      <c r="O31" s="7" t="n">
        <v>81</v>
      </c>
      <c r="P31" s="7" t="n">
        <v>96</v>
      </c>
      <c r="Q31" s="7" t="n">
        <v>100</v>
      </c>
      <c r="R31" s="7" t="n">
        <v>75</v>
      </c>
    </row>
    <row r="32" customFormat="false" ht="15" hidden="false" customHeight="false" outlineLevel="0" collapsed="false">
      <c r="F32" s="0" t="n">
        <v>21</v>
      </c>
      <c r="G32" s="25" t="n">
        <v>39</v>
      </c>
      <c r="H32" s="25" t="n">
        <v>40</v>
      </c>
      <c r="I32" s="25" t="n">
        <v>47</v>
      </c>
      <c r="J32" s="25" t="n">
        <v>67</v>
      </c>
      <c r="K32" s="25" t="n">
        <v>30</v>
      </c>
      <c r="L32" s="35"/>
      <c r="M32" s="36" t="s">
        <v>7</v>
      </c>
      <c r="N32" s="7" t="n">
        <v>52</v>
      </c>
      <c r="O32" s="7" t="n">
        <v>47</v>
      </c>
      <c r="P32" s="7" t="n">
        <v>67</v>
      </c>
      <c r="Q32" s="7" t="n">
        <v>51</v>
      </c>
      <c r="R32" s="7" t="n">
        <v>50</v>
      </c>
    </row>
    <row r="33" customFormat="false" ht="15" hidden="false" customHeight="false" outlineLevel="0" collapsed="false">
      <c r="F33" s="0" t="n">
        <v>22</v>
      </c>
      <c r="G33" s="25" t="n">
        <v>95</v>
      </c>
      <c r="H33" s="25" t="n">
        <v>83</v>
      </c>
      <c r="I33" s="25" t="n">
        <v>88</v>
      </c>
      <c r="J33" s="25" t="n">
        <v>59</v>
      </c>
      <c r="K33" s="25" t="n">
        <v>105</v>
      </c>
      <c r="L33" s="35"/>
      <c r="M33" s="36" t="s">
        <v>10</v>
      </c>
      <c r="N33" s="7" t="n">
        <v>119</v>
      </c>
      <c r="O33" s="7" t="n">
        <v>97</v>
      </c>
      <c r="P33" s="7" t="n">
        <v>92</v>
      </c>
      <c r="Q33" s="7" t="n">
        <v>108</v>
      </c>
      <c r="R33" s="7" t="n">
        <v>103</v>
      </c>
    </row>
    <row r="34" customFormat="false" ht="15" hidden="false" customHeight="false" outlineLevel="0" collapsed="false">
      <c r="F34" s="0" t="n">
        <v>23</v>
      </c>
      <c r="G34" s="25" t="n">
        <v>50</v>
      </c>
      <c r="H34" s="25" t="n">
        <v>40</v>
      </c>
      <c r="I34" s="25" t="n">
        <v>26</v>
      </c>
      <c r="J34" s="25" t="n">
        <v>71</v>
      </c>
      <c r="K34" s="25" t="n">
        <v>31</v>
      </c>
      <c r="L34" s="35"/>
      <c r="N34" s="7" t="n">
        <v>88</v>
      </c>
      <c r="O34" s="7" t="n">
        <v>72</v>
      </c>
      <c r="P34" s="7" t="n">
        <v>49</v>
      </c>
      <c r="Q34" s="7" t="n">
        <v>61</v>
      </c>
      <c r="R34" s="7" t="n">
        <v>71</v>
      </c>
    </row>
    <row r="35" customFormat="false" ht="15" hidden="false" customHeight="false" outlineLevel="0" collapsed="false">
      <c r="F35" s="0" t="n">
        <v>24</v>
      </c>
      <c r="G35" s="25" t="n">
        <v>41</v>
      </c>
      <c r="H35" s="25" t="n">
        <v>46</v>
      </c>
      <c r="I35" s="25" t="n">
        <v>56</v>
      </c>
      <c r="J35" s="25" t="n">
        <v>41</v>
      </c>
      <c r="K35" s="25" t="n">
        <v>48</v>
      </c>
      <c r="L35" s="35"/>
      <c r="N35" s="7" t="n">
        <v>67</v>
      </c>
      <c r="O35" s="7" t="n">
        <v>71</v>
      </c>
      <c r="P35" s="7" t="n">
        <v>62</v>
      </c>
      <c r="Q35" s="7" t="n">
        <v>66</v>
      </c>
      <c r="R35" s="7" t="n">
        <v>81</v>
      </c>
    </row>
    <row r="36" customFormat="false" ht="15" hidden="false" customHeight="false" outlineLevel="0" collapsed="false">
      <c r="F36" s="0" t="n">
        <v>25</v>
      </c>
      <c r="G36" s="25" t="n">
        <v>61</v>
      </c>
      <c r="H36" s="25" t="n">
        <v>79</v>
      </c>
      <c r="I36" s="25" t="n">
        <v>77</v>
      </c>
      <c r="J36" s="25" t="n">
        <v>93</v>
      </c>
      <c r="K36" s="25" t="n">
        <v>62</v>
      </c>
      <c r="L36" s="35"/>
      <c r="N36" s="7" t="n">
        <v>73</v>
      </c>
      <c r="O36" s="7" t="n">
        <v>61</v>
      </c>
      <c r="P36" s="7" t="n">
        <v>62</v>
      </c>
      <c r="Q36" s="7" t="n">
        <v>61</v>
      </c>
      <c r="R36" s="7" t="n">
        <v>66</v>
      </c>
    </row>
    <row r="37" customFormat="false" ht="15" hidden="false" customHeight="false" outlineLevel="0" collapsed="false">
      <c r="F37" s="0" t="n">
        <v>26</v>
      </c>
      <c r="G37" s="25" t="n">
        <v>59</v>
      </c>
      <c r="H37" s="25" t="n">
        <v>84</v>
      </c>
      <c r="I37" s="25" t="n">
        <v>78</v>
      </c>
      <c r="J37" s="25" t="n">
        <v>87</v>
      </c>
      <c r="K37" s="25" t="n">
        <v>75</v>
      </c>
      <c r="L37" s="35"/>
      <c r="N37" s="7" t="n">
        <v>107</v>
      </c>
      <c r="O37" s="7" t="n">
        <v>112</v>
      </c>
      <c r="P37" s="7" t="n">
        <v>94</v>
      </c>
      <c r="Q37" s="7" t="n">
        <v>101</v>
      </c>
      <c r="R37" s="7" t="n">
        <v>126</v>
      </c>
    </row>
    <row r="38" customFormat="false" ht="15" hidden="false" customHeight="false" outlineLevel="0" collapsed="false">
      <c r="F38" s="0" t="n">
        <v>27</v>
      </c>
      <c r="G38" s="25" t="n">
        <v>68</v>
      </c>
      <c r="H38" s="25" t="n">
        <v>72</v>
      </c>
      <c r="I38" s="25" t="n">
        <v>44</v>
      </c>
      <c r="J38" s="25" t="n">
        <v>42</v>
      </c>
      <c r="K38" s="25" t="n">
        <v>47</v>
      </c>
      <c r="L38" s="35"/>
      <c r="N38" s="7" t="n">
        <v>47</v>
      </c>
      <c r="O38" s="7" t="n">
        <v>58</v>
      </c>
      <c r="P38" s="7" t="n">
        <v>123</v>
      </c>
      <c r="Q38" s="7" t="n">
        <v>115</v>
      </c>
      <c r="R38" s="7" t="n">
        <v>147</v>
      </c>
    </row>
    <row r="39" customFormat="false" ht="15" hidden="false" customHeight="false" outlineLevel="0" collapsed="false">
      <c r="F39" s="0" t="n">
        <v>28</v>
      </c>
      <c r="G39" s="25" t="n">
        <v>130</v>
      </c>
      <c r="H39" s="25" t="n">
        <v>111</v>
      </c>
      <c r="I39" s="25" t="n">
        <v>124</v>
      </c>
      <c r="J39" s="25" t="n">
        <v>143</v>
      </c>
      <c r="K39" s="25" t="n">
        <v>112</v>
      </c>
      <c r="L39" s="35"/>
      <c r="N39" s="7" t="n">
        <v>146</v>
      </c>
      <c r="O39" s="7" t="n">
        <v>112</v>
      </c>
      <c r="P39" s="7" t="n">
        <v>97</v>
      </c>
      <c r="Q39" s="7" t="n">
        <v>105</v>
      </c>
      <c r="R39" s="7" t="n">
        <v>119</v>
      </c>
    </row>
    <row r="40" customFormat="false" ht="15" hidden="false" customHeight="false" outlineLevel="0" collapsed="false">
      <c r="F40" s="0" t="n">
        <v>29</v>
      </c>
      <c r="G40" s="25" t="n">
        <v>55</v>
      </c>
      <c r="H40" s="25" t="n">
        <v>42</v>
      </c>
      <c r="I40" s="25" t="n">
        <v>44</v>
      </c>
      <c r="J40" s="25" t="n">
        <v>140</v>
      </c>
      <c r="K40" s="25" t="n">
        <v>49</v>
      </c>
      <c r="L40" s="35"/>
      <c r="N40" s="7" t="n">
        <v>77</v>
      </c>
      <c r="O40" s="7" t="n">
        <v>89</v>
      </c>
      <c r="P40" s="7" t="n">
        <v>94</v>
      </c>
      <c r="Q40" s="7" t="n">
        <v>129</v>
      </c>
      <c r="R40" s="7" t="n">
        <v>117</v>
      </c>
    </row>
    <row r="41" customFormat="false" ht="15" hidden="false" customHeight="false" outlineLevel="0" collapsed="false">
      <c r="F41" s="0" t="n">
        <v>30</v>
      </c>
      <c r="G41" s="25" t="n">
        <v>65</v>
      </c>
      <c r="H41" s="25" t="n">
        <v>86</v>
      </c>
      <c r="I41" s="25" t="n">
        <v>54</v>
      </c>
      <c r="J41" s="25" t="n">
        <v>80</v>
      </c>
      <c r="K41" s="25" t="n">
        <v>78</v>
      </c>
      <c r="L41" s="35"/>
      <c r="N41" s="7" t="n">
        <v>70</v>
      </c>
      <c r="O41" s="7" t="n">
        <v>90</v>
      </c>
      <c r="P41" s="7" t="n">
        <v>110</v>
      </c>
      <c r="Q41" s="7" t="n">
        <v>90</v>
      </c>
      <c r="R41" s="7" t="n">
        <v>79</v>
      </c>
    </row>
    <row r="42" customFormat="false" ht="15" hidden="false" customHeight="false" outlineLevel="0" collapsed="false">
      <c r="F42" s="0" t="n">
        <v>31</v>
      </c>
      <c r="G42" s="25" t="n">
        <v>64</v>
      </c>
      <c r="H42" s="25" t="n">
        <v>55</v>
      </c>
      <c r="I42" s="25" t="n">
        <v>66</v>
      </c>
      <c r="J42" s="25" t="n">
        <v>86</v>
      </c>
      <c r="K42" s="25" t="n">
        <v>89</v>
      </c>
      <c r="L42" s="35"/>
      <c r="N42" s="7" t="n">
        <v>126</v>
      </c>
      <c r="O42" s="7" t="n">
        <v>84</v>
      </c>
      <c r="P42" s="7" t="n">
        <v>99</v>
      </c>
      <c r="Q42" s="7" t="n">
        <v>91</v>
      </c>
      <c r="R42" s="7" t="n">
        <v>109</v>
      </c>
    </row>
    <row r="43" customFormat="false" ht="15" hidden="false" customHeight="false" outlineLevel="0" collapsed="false">
      <c r="F43" s="0" t="n">
        <v>32</v>
      </c>
      <c r="G43" s="25" t="n">
        <v>84</v>
      </c>
      <c r="H43" s="25" t="n">
        <v>74</v>
      </c>
      <c r="I43" s="25" t="n">
        <v>84</v>
      </c>
      <c r="J43" s="25" t="n">
        <v>121</v>
      </c>
      <c r="K43" s="25" t="n">
        <v>76</v>
      </c>
      <c r="L43" s="35"/>
      <c r="N43" s="7" t="n">
        <v>91</v>
      </c>
      <c r="O43" s="7" t="n">
        <v>97</v>
      </c>
      <c r="P43" s="7" t="n">
        <v>94</v>
      </c>
      <c r="Q43" s="7" t="n">
        <v>109</v>
      </c>
      <c r="R43" s="7" t="n">
        <v>106</v>
      </c>
    </row>
    <row r="45" customFormat="false" ht="15" hidden="false" customHeight="false" outlineLevel="0" collapsed="false">
      <c r="G45" s="37" t="n">
        <f aca="false">AVERAGE(G12:G43)</f>
        <v>60.375</v>
      </c>
      <c r="H45" s="37" t="n">
        <f aca="false">AVERAGE(H12:H43)</f>
        <v>59.5625</v>
      </c>
      <c r="I45" s="37" t="n">
        <f aca="false">AVERAGE(I12:I43)</f>
        <v>59.3125</v>
      </c>
      <c r="J45" s="37" t="n">
        <f aca="false">AVERAGE(J12:J43)</f>
        <v>79.15625</v>
      </c>
      <c r="K45" s="37" t="n">
        <f aca="false">AVERAGE(K12:K43)</f>
        <v>67.78125</v>
      </c>
      <c r="L45" s="38"/>
      <c r="M45" s="27"/>
      <c r="N45" s="37" t="n">
        <f aca="false">AVERAGE(N12:N43)</f>
        <v>84.90625</v>
      </c>
      <c r="O45" s="37" t="n">
        <f aca="false">AVERAGE(O12:O43)</f>
        <v>71.46875</v>
      </c>
      <c r="P45" s="37" t="n">
        <f aca="false">AVERAGE(P12:P43)</f>
        <v>70.5</v>
      </c>
      <c r="Q45" s="37" t="n">
        <f aca="false">AVERAGE(Q12:Q43)</f>
        <v>75.34375</v>
      </c>
      <c r="R45" s="37" t="n">
        <f aca="false">AVERAGE(R12:R43)</f>
        <v>78.21875</v>
      </c>
    </row>
    <row r="46" customFormat="false" ht="15" hidden="false" customHeight="false" outlineLevel="0" collapsed="false">
      <c r="G46" s="37" t="n">
        <f aca="false">STDEV(G12:G43)</f>
        <v>23.5683631577478</v>
      </c>
      <c r="H46" s="37" t="n">
        <f aca="false">STDEV(H12:H43)</f>
        <v>26.3291050777186</v>
      </c>
      <c r="I46" s="37" t="n">
        <f aca="false">STDEV(I12:I43)</f>
        <v>25.8749318216337</v>
      </c>
      <c r="J46" s="37" t="n">
        <f aca="false">STDEV(J12:J43)</f>
        <v>30.3082117851401</v>
      </c>
      <c r="K46" s="37" t="n">
        <f aca="false">STDEV(K12:K43)</f>
        <v>24.4642390426411</v>
      </c>
      <c r="L46" s="38"/>
      <c r="M46" s="27"/>
      <c r="N46" s="37" t="n">
        <f aca="false">STDEV(N12:N43)</f>
        <v>27.3323150052897</v>
      </c>
      <c r="O46" s="37" t="n">
        <f aca="false">STDEV(O12:O43)</f>
        <v>26.7280019588011</v>
      </c>
      <c r="P46" s="37" t="n">
        <f aca="false">STDEV(P12:P43)</f>
        <v>30.9890719552097</v>
      </c>
      <c r="Q46" s="37" t="n">
        <f aca="false">STDEV(Q12:Q43)</f>
        <v>26.5288757771603</v>
      </c>
      <c r="R46" s="37" t="n">
        <f aca="false">STDEV(R12:R43)</f>
        <v>28.2394534980932</v>
      </c>
    </row>
    <row r="47" customFormat="false" ht="15" hidden="false" customHeight="false" outlineLevel="0" collapsed="false">
      <c r="G47" s="37" t="n">
        <f aca="false">G46/SQRT(40)</f>
        <v>3.72648541502407</v>
      </c>
      <c r="H47" s="37" t="n">
        <f aca="false">H46/SQRT(40)</f>
        <v>4.16299703997477</v>
      </c>
      <c r="I47" s="37" t="n">
        <f aca="false">I46/SQRT(40)</f>
        <v>4.09118594289661</v>
      </c>
      <c r="J47" s="37" t="n">
        <f aca="false">J46/SQRT(40)</f>
        <v>4.79214905239002</v>
      </c>
      <c r="K47" s="37" t="n">
        <f aca="false">K46/SQRT(40)</f>
        <v>3.86813582987815</v>
      </c>
      <c r="L47" s="38"/>
      <c r="M47" s="27"/>
      <c r="N47" s="37" t="n">
        <f aca="false">N46/SQRT(40)</f>
        <v>4.32161845709564</v>
      </c>
      <c r="O47" s="37" t="n">
        <f aca="false">O46/SQRT(40)</f>
        <v>4.22606817476268</v>
      </c>
      <c r="P47" s="37" t="n">
        <f aca="false">P46/SQRT(40)</f>
        <v>4.8998024976655</v>
      </c>
      <c r="Q47" s="37" t="n">
        <f aca="false">Q46/SQRT(40)</f>
        <v>4.1945835609748</v>
      </c>
      <c r="R47" s="37" t="n">
        <f aca="false">R46/SQRT(40)</f>
        <v>4.46504964661919</v>
      </c>
    </row>
    <row r="48" customFormat="false" ht="15" hidden="false" customHeight="false" outlineLevel="0" collapsed="false">
      <c r="G48" s="39"/>
      <c r="H48" s="39"/>
      <c r="I48" s="39"/>
      <c r="J48" s="39"/>
      <c r="K48" s="39"/>
      <c r="L48" s="40"/>
      <c r="M48" s="3"/>
      <c r="N48" s="39"/>
      <c r="O48" s="39"/>
      <c r="P48" s="39"/>
      <c r="Q48" s="39"/>
      <c r="R48" s="39"/>
    </row>
    <row r="49" customFormat="false" ht="15" hidden="false" customHeight="false" outlineLevel="0" collapsed="false">
      <c r="G49" s="39"/>
      <c r="H49" s="39"/>
      <c r="I49" s="39"/>
      <c r="J49" s="39"/>
      <c r="K49" s="39"/>
      <c r="L49" s="40"/>
      <c r="M49" s="3"/>
      <c r="N49" s="39"/>
      <c r="O49" s="39"/>
      <c r="P49" s="39"/>
      <c r="Q49" s="39"/>
      <c r="R49" s="39"/>
    </row>
    <row r="50" customFormat="false" ht="15" hidden="false" customHeight="false" outlineLevel="0" collapsed="false">
      <c r="F50" s="0" t="s">
        <v>15</v>
      </c>
      <c r="G50" s="41" t="n">
        <f aca="false">AVERAGE(G14,G15,G19,G27,G30,G32,G33,G37,G35,G40)</f>
        <v>60.5</v>
      </c>
      <c r="H50" s="41" t="n">
        <f aca="false">AVERAGE(H14,H15,H19,H27,H30,H32,H33,H37,H35,H40)</f>
        <v>59.1</v>
      </c>
      <c r="I50" s="41" t="n">
        <f aca="false">AVERAGE(I14,I15,I19,I27,I30,I32,I33,I37,I35,I40)</f>
        <v>59.4</v>
      </c>
      <c r="J50" s="41" t="n">
        <f aca="false">AVERAGE(J14,J15,J19,J27,J30,J32,J33,J37,J35,J40)</f>
        <v>79.3</v>
      </c>
      <c r="K50" s="41" t="n">
        <f aca="false">AVERAGE(K14,K15,K19,K27,K30,K32,K33,K37,K35,K40)</f>
        <v>67.3</v>
      </c>
      <c r="L50" s="40"/>
      <c r="M50" s="3"/>
      <c r="N50" s="41" t="n">
        <f aca="false">AVERAGE(N14,N15,N19,N27,N30,N32,N33,N37,N35,N40)</f>
        <v>79.8</v>
      </c>
      <c r="O50" s="41" t="n">
        <f aca="false">AVERAGE(O14,O15,O19,O27,O30,O32,O33,O37,O35,O40)</f>
        <v>70.7</v>
      </c>
      <c r="P50" s="41" t="n">
        <f aca="false">AVERAGE(P14,P15,P19,P27,P30,P32,P33,P37,P35,P40)</f>
        <v>67.9</v>
      </c>
      <c r="Q50" s="41" t="n">
        <f aca="false">AVERAGE(Q14,Q15,Q19,Q27,Q30,Q32,Q33,Q37,Q35,Q40)</f>
        <v>78.4</v>
      </c>
      <c r="R50" s="41" t="n">
        <f aca="false">AVERAGE(R14,R15,R19,R27,R30,R32,R33,R37,R35,R40)</f>
        <v>82.5</v>
      </c>
    </row>
    <row r="51" customFormat="false" ht="15" hidden="false" customHeight="false" outlineLevel="0" collapsed="false">
      <c r="D51" s="13" t="s">
        <v>18</v>
      </c>
      <c r="F51" s="14" t="s">
        <v>16</v>
      </c>
      <c r="G51" s="41" t="n">
        <f aca="false">STDEV(G14:G15,G19,G27,G30,G32,G33,G35,G37,G40)</f>
        <v>20.1121853611188</v>
      </c>
      <c r="H51" s="41" t="n">
        <f aca="false">STDEV(H14:H15,H19,H27,H30,H32,H33,H35,H37,H40)</f>
        <v>19.2783701477992</v>
      </c>
      <c r="I51" s="41" t="n">
        <f aca="false">STDEV(I14:I15,I19,I27,I30,I32,I33,I35,I37,I40)</f>
        <v>24.7080733544501</v>
      </c>
      <c r="J51" s="41" t="n">
        <f aca="false">STDEV(J14:J15,J19,J27,J30,J32,J33,J35,J37,J40)</f>
        <v>34.393313303606</v>
      </c>
      <c r="K51" s="41" t="n">
        <f aca="false">STDEV(K14:K15,K19,K27,K30,K32,K33,K35,K37,K40)</f>
        <v>25.4953154738495</v>
      </c>
      <c r="L51" s="40"/>
      <c r="M51" s="3"/>
      <c r="N51" s="41" t="n">
        <f aca="false">STDEV(N14:N15,N19,N27,N30,N32,N33,N35,N37,N40)</f>
        <v>24.6251903545942</v>
      </c>
      <c r="O51" s="41" t="n">
        <f aca="false">STDEV(O14:O15,O19,O27,O30,O32,O33,O35,O37,O40)</f>
        <v>30.0445964821926</v>
      </c>
      <c r="P51" s="41" t="n">
        <f aca="false">STDEV(P14:P15,P19,P27,P30,P32,P33,P35,P37,P40)</f>
        <v>27.0162502538339</v>
      </c>
      <c r="Q51" s="41" t="n">
        <f aca="false">STDEV(Q14:Q15,Q19,Q27,Q30,Q32,Q33,Q35,Q37,Q40)</f>
        <v>27.1547008412499</v>
      </c>
      <c r="R51" s="41" t="n">
        <f aca="false">STDEV(R14:R15,R19,R27,R30,R32,R33,R35,R37,R40)</f>
        <v>29.1404644209159</v>
      </c>
    </row>
    <row r="52" customFormat="false" ht="15" hidden="false" customHeight="false" outlineLevel="0" collapsed="false">
      <c r="F52" s="0" t="s">
        <v>17</v>
      </c>
      <c r="G52" s="41" t="n">
        <f aca="false">G51/SQRT(10)</f>
        <v>6.36003144646314</v>
      </c>
      <c r="H52" s="41" t="n">
        <f aca="false">H51/SQRT(10)</f>
        <v>6.09635592428424</v>
      </c>
      <c r="I52" s="41" t="n">
        <f aca="false">I51/SQRT(10)</f>
        <v>7.81337883945793</v>
      </c>
      <c r="J52" s="41" t="n">
        <f aca="false">J51/SQRT(10)</f>
        <v>10.8761206319165</v>
      </c>
      <c r="K52" s="41" t="n">
        <f aca="false">K51/SQRT(10)</f>
        <v>8.06232665618995</v>
      </c>
      <c r="L52" s="40"/>
      <c r="M52" s="3"/>
      <c r="N52" s="41" t="n">
        <f aca="false">N51/SQRT(10)</f>
        <v>7.78716893357271</v>
      </c>
      <c r="O52" s="41" t="n">
        <f aca="false">O51/SQRT(10)</f>
        <v>9.5009356264411</v>
      </c>
      <c r="P52" s="41" t="n">
        <f aca="false">P51/SQRT(10)</f>
        <v>8.54328846392171</v>
      </c>
      <c r="Q52" s="41" t="n">
        <f aca="false">Q51/SQRT(10)</f>
        <v>8.587070383884</v>
      </c>
      <c r="R52" s="41" t="n">
        <f aca="false">R51/SQRT(10)</f>
        <v>9.21502396451939</v>
      </c>
    </row>
    <row r="53" customFormat="false" ht="15" hidden="false" customHeight="false" outlineLevel="0" collapsed="false">
      <c r="G53" s="39"/>
      <c r="H53" s="39"/>
      <c r="I53" s="39"/>
      <c r="J53" s="39"/>
      <c r="K53" s="39"/>
      <c r="L53" s="40"/>
      <c r="M53" s="3"/>
      <c r="N53" s="39"/>
      <c r="O53" s="39"/>
      <c r="P53" s="39"/>
      <c r="Q53" s="39"/>
      <c r="R53" s="39"/>
    </row>
    <row r="54" customFormat="false" ht="15" hidden="false" customHeight="false" outlineLevel="0" collapsed="false">
      <c r="F54" s="0" t="s">
        <v>15</v>
      </c>
      <c r="G54" s="42" t="n">
        <f aca="false">AVERAGE(G12,G13,G16,G21,G23,G25,G26,G29,G31,G42,G43)</f>
        <v>60</v>
      </c>
      <c r="H54" s="42" t="n">
        <f aca="false">AVERAGE(H12,H13,H16,H21,H23,H25,H26,H29,H31,H42,H43)</f>
        <v>59.5454545454546</v>
      </c>
      <c r="I54" s="42" t="n">
        <f aca="false">AVERAGE(I12,I13,I16,I21,I23,I25,I26,I29,I31,I42,I43)</f>
        <v>58.9090909090909</v>
      </c>
      <c r="J54" s="42" t="n">
        <f aca="false">AVERAGE(J12,J13,J16,J21,J23,J25,J26,J29,J31,J42,J43)</f>
        <v>79.3636363636364</v>
      </c>
      <c r="K54" s="42" t="n">
        <f aca="false">AVERAGE(K12,K13,K16,K21,K23,K25,K26,K29,K31,K42,K43)</f>
        <v>68</v>
      </c>
      <c r="L54" s="40"/>
      <c r="M54" s="3"/>
      <c r="N54" s="42" t="n">
        <f aca="false">AVERAGE(N12,N13,N16,N21,N23,N25,N26,N29,N31,N42,N43)</f>
        <v>92.0909090909091</v>
      </c>
      <c r="O54" s="42" t="n">
        <f aca="false">AVERAGE(O12,O13,O16,O21,O23,O25,O26,O29,O31,O42,O43)</f>
        <v>71.9090909090909</v>
      </c>
      <c r="P54" s="42" t="n">
        <f aca="false">AVERAGE(P12,P13,P16,P21,P23,P25,P26,P29,P31,P42,P43)</f>
        <v>74.0909090909091</v>
      </c>
      <c r="Q54" s="42" t="n">
        <f aca="false">AVERAGE(Q12,Q13,Q16,Q21,Q23,Q25,Q26,Q29,Q31,Q42,Q43)</f>
        <v>75.2727272727273</v>
      </c>
      <c r="R54" s="42" t="n">
        <f aca="false">AVERAGE(R12,R13,R16,R21,R23,R25,R26,R29,R31,R42,R43)</f>
        <v>73.3636363636364</v>
      </c>
    </row>
    <row r="55" customFormat="false" ht="15" hidden="false" customHeight="false" outlineLevel="0" collapsed="false">
      <c r="D55" s="16" t="s">
        <v>19</v>
      </c>
      <c r="F55" s="14" t="s">
        <v>16</v>
      </c>
      <c r="G55" s="42" t="n">
        <f aca="false">_xlfn.STDEV.S(G12,G13,G16,G21,G23,G25,G26,G29,G31,G42,G43)</f>
        <v>26.3742298465756</v>
      </c>
      <c r="H55" s="42" t="n">
        <f aca="false">_xlfn.STDEV.S(H12,H13,H16,H21,H23,H25,H26,H29,H31,H42,H43)</f>
        <v>35.3789870865847</v>
      </c>
      <c r="I55" s="42" t="n">
        <f aca="false">_xlfn.STDEV.S(I12,I13,I16,I21,I23,I25,I26,I29,I31,I42,I43)</f>
        <v>26.0670464205462</v>
      </c>
      <c r="J55" s="42" t="n">
        <f aca="false">_xlfn.STDEV.S(J12,J13,J16,J21,J23,J25,J26,J29,J31,J42,J43)</f>
        <v>30.3093144999115</v>
      </c>
      <c r="K55" s="42" t="n">
        <f aca="false">_xlfn.STDEV.S(K12,K13,K16,K21,K23,K25,K26,K29,K31,K42,K43)</f>
        <v>27.0961251842399</v>
      </c>
      <c r="L55" s="40"/>
      <c r="M55" s="3"/>
      <c r="N55" s="42" t="n">
        <f aca="false">_xlfn.STDEV.S(N12,N13,N16,N21,N23,N25,N26,N29,N31,N42,N43)</f>
        <v>30.7260623753013</v>
      </c>
      <c r="O55" s="42" t="n">
        <f aca="false">_xlfn.STDEV.S(O12,O13,O16,O21,O23,O25,O26,O29,O31,O42,O43)</f>
        <v>26.942362722874</v>
      </c>
      <c r="P55" s="42" t="n">
        <f aca="false">_xlfn.STDEV.S(P12,P13,P16,P21,P23,P25,P26,P29,P31,P42,P43)</f>
        <v>37.2141224414994</v>
      </c>
      <c r="Q55" s="42" t="n">
        <f aca="false">_xlfn.STDEV.S(Q12,Q13,Q16,Q21,Q23,Q25,Q26,Q29,Q31,Q42,Q43)</f>
        <v>28.8966811557691</v>
      </c>
      <c r="R55" s="42" t="n">
        <f aca="false">_xlfn.STDEV.S(R12,R13,R16,R21,R23,R25,R26,R29,R31,R42,R43)</f>
        <v>24.1713579563612</v>
      </c>
    </row>
    <row r="56" customFormat="false" ht="15" hidden="false" customHeight="false" outlineLevel="0" collapsed="false">
      <c r="F56" s="0" t="s">
        <v>17</v>
      </c>
      <c r="G56" s="42" t="n">
        <f aca="false">G55/SQRT(11)</f>
        <v>7.952129503244</v>
      </c>
      <c r="H56" s="42" t="n">
        <f aca="false">H55/SQRT(11)</f>
        <v>10.6671659662755</v>
      </c>
      <c r="I56" s="42" t="n">
        <f aca="false">I55/SQRT(11)</f>
        <v>7.85951021542986</v>
      </c>
      <c r="J56" s="42" t="n">
        <f aca="false">J55/SQRT(11)</f>
        <v>9.13860216809862</v>
      </c>
      <c r="K56" s="42" t="n">
        <f aca="false">K55/SQRT(11)</f>
        <v>8.16978913714758</v>
      </c>
      <c r="L56" s="40"/>
      <c r="M56" s="3"/>
      <c r="N56" s="42" t="n">
        <f aca="false">N55/SQRT(11)</f>
        <v>9.26425638035734</v>
      </c>
      <c r="O56" s="42" t="n">
        <f aca="false">O55/SQRT(11)</f>
        <v>8.12342801067555</v>
      </c>
      <c r="P56" s="42" t="n">
        <f aca="false">P55/SQRT(11)</f>
        <v>11.220480094618</v>
      </c>
      <c r="Q56" s="42" t="n">
        <f aca="false">Q55/SQRT(11)</f>
        <v>8.71267718911087</v>
      </c>
      <c r="R56" s="42" t="n">
        <f aca="false">R55/SQRT(11)</f>
        <v>7.28793863769289</v>
      </c>
    </row>
    <row r="57" customFormat="false" ht="15" hidden="false" customHeight="false" outlineLevel="0" collapsed="false">
      <c r="G57" s="39"/>
      <c r="H57" s="39"/>
      <c r="I57" s="39"/>
      <c r="J57" s="39"/>
      <c r="K57" s="39"/>
      <c r="L57" s="40"/>
      <c r="M57" s="3"/>
      <c r="N57" s="39"/>
      <c r="O57" s="39"/>
      <c r="P57" s="39"/>
      <c r="Q57" s="39"/>
      <c r="R57" s="39"/>
    </row>
    <row r="58" customFormat="false" ht="15" hidden="false" customHeight="false" outlineLevel="0" collapsed="false">
      <c r="F58" s="0" t="s">
        <v>15</v>
      </c>
      <c r="G58" s="43" t="n">
        <f aca="false">AVERAGE(G17,G18,G20,G22,G24,G28,G34,G36,G38,G39,G41)</f>
        <v>60.6363636363636</v>
      </c>
      <c r="H58" s="43" t="n">
        <f aca="false">AVERAGE(H17,H18,H20,H22,H24,H28,H34,H36,H38,H39,H41)</f>
        <v>60</v>
      </c>
      <c r="I58" s="43" t="n">
        <f aca="false">AVERAGE(I17,I18,I20,I22,I24,I28,I34,I36,I38,I39,I41)</f>
        <v>59.6363636363636</v>
      </c>
      <c r="J58" s="43" t="n">
        <f aca="false">AVERAGE(J17,J18,J20,J22,J24,J28,J34,J36,J38,J39,J41)</f>
        <v>78.8181818181818</v>
      </c>
      <c r="K58" s="43" t="n">
        <f aca="false">AVERAGE(K17,K18,K20,K22,K24,K28,K34,K36,K38,K39,K41)</f>
        <v>68</v>
      </c>
      <c r="L58" s="40"/>
      <c r="M58" s="3"/>
      <c r="N58" s="43" t="n">
        <f aca="false">AVERAGE(N17,N18,N20,N22,N24,N28,N34,N36,N38,N39,N41)</f>
        <v>82.3636363636364</v>
      </c>
      <c r="O58" s="43" t="n">
        <f aca="false">AVERAGE(O17,O18,O20,O22,O24,O28,O34,O36,O38,O39,O41)</f>
        <v>71.7272727272727</v>
      </c>
      <c r="P58" s="43" t="n">
        <f aca="false">AVERAGE(P17,P18,P20,P22,P24,P28,P34,P36,P38,P39,P41)</f>
        <v>69.2727272727273</v>
      </c>
      <c r="Q58" s="43" t="n">
        <f aca="false">AVERAGE(Q17,Q18,Q20,Q22,Q24,Q28,Q34,Q36,Q38,Q39,Q41)</f>
        <v>72.6363636363636</v>
      </c>
      <c r="R58" s="43" t="n">
        <f aca="false">AVERAGE(R17,R18,R20,R22,R24,R28,R34,R36,R38,R39,R41)</f>
        <v>79.1818181818182</v>
      </c>
    </row>
    <row r="59" customFormat="false" ht="15" hidden="false" customHeight="false" outlineLevel="0" collapsed="false">
      <c r="D59" s="32" t="s">
        <v>23</v>
      </c>
      <c r="F59" s="14" t="s">
        <v>16</v>
      </c>
      <c r="G59" s="43" t="n">
        <f aca="false">STDEV(G17,G18,G20,G22,G24,G28,G34,G36,G38,G39,G41)</f>
        <v>25.7304206233506</v>
      </c>
      <c r="H59" s="43" t="n">
        <f aca="false">STDEV(H17,H18,H20,H22,H24,H28,H34,H36,H38,H39,H41)</f>
        <v>23.7149741724506</v>
      </c>
      <c r="I59" s="43" t="n">
        <f aca="false">STDEV(I17,I18,I20,I22,I24,I28,I34,I36,I38,I39,I41)</f>
        <v>29.0904545419034</v>
      </c>
      <c r="J59" s="43" t="n">
        <f aca="false">STDEV(J17,J18,J20,J22,J24,J28,J34,J36,J38,J39,J41)</f>
        <v>29.3966602926869</v>
      </c>
      <c r="K59" s="43" t="n">
        <f aca="false">STDEV(K17,K18,K20,K22,K24,K28,K34,K36,K38,K39,K41)</f>
        <v>23.1473540604536</v>
      </c>
      <c r="L59" s="40"/>
      <c r="M59" s="3"/>
      <c r="N59" s="43" t="n">
        <f aca="false">STDEV(N17,N18,N20,N22,N24,N28,N34,N36,N38,N39,N41)</f>
        <v>27.1303251999409</v>
      </c>
      <c r="O59" s="43" t="n">
        <f aca="false">STDEV(O17,O18,O20,O22,O24,O28,O34,O36,O38,O39,O41)</f>
        <v>25.9888087802843</v>
      </c>
      <c r="P59" s="43" t="n">
        <f aca="false">STDEV(P17,P18,P20,P22,P24,P28,P34,P36,P38,P39,P41)</f>
        <v>30.2095710300259</v>
      </c>
      <c r="Q59" s="43" t="n">
        <f aca="false">STDEV(Q17,Q18,Q20,Q22,Q24,Q28,Q34,Q36,Q38,Q39,Q41)</f>
        <v>25.8002818871141</v>
      </c>
      <c r="R59" s="43" t="n">
        <f aca="false">STDEV(R17,R18,R20,R22,R24,R28,R34,R36,R38,R39,R41)</f>
        <v>32.8384475327875</v>
      </c>
    </row>
    <row r="60" customFormat="false" ht="15" hidden="false" customHeight="false" outlineLevel="0" collapsed="false">
      <c r="F60" s="0" t="s">
        <v>17</v>
      </c>
      <c r="G60" s="43" t="n">
        <f aca="false">G59/SQRT(11)</f>
        <v>7.75801371869786</v>
      </c>
      <c r="H60" s="43" t="n">
        <f aca="false">H59/SQRT(11)</f>
        <v>7.15033374936252</v>
      </c>
      <c r="I60" s="43" t="n">
        <f aca="false">I59/SQRT(11)</f>
        <v>8.77110206330759</v>
      </c>
      <c r="J60" s="43" t="n">
        <f aca="false">J59/SQRT(11)</f>
        <v>8.86342657094379</v>
      </c>
      <c r="K60" s="43" t="n">
        <f aca="false">K59/SQRT(11)</f>
        <v>6.97918984618494</v>
      </c>
      <c r="L60" s="40"/>
      <c r="M60" s="3"/>
      <c r="N60" s="43" t="n">
        <f aca="false">N59/SQRT(11)</f>
        <v>8.18010082986615</v>
      </c>
      <c r="O60" s="43" t="n">
        <f aca="false">O59/SQRT(11)</f>
        <v>7.83592067931791</v>
      </c>
      <c r="P60" s="43" t="n">
        <f aca="false">P59/SQRT(11)</f>
        <v>9.10852838038057</v>
      </c>
      <c r="Q60" s="43" t="n">
        <f aca="false">Q59/SQRT(11)</f>
        <v>7.77907768226908</v>
      </c>
      <c r="R60" s="43" t="n">
        <f aca="false">R59/SQRT(11)</f>
        <v>9.9011644694571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P4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47" activeCellId="1" sqref="F47:F48 B47"/>
    </sheetView>
  </sheetViews>
  <sheetFormatPr defaultColWidth="8.6796875" defaultRowHeight="15" zeroHeight="false" outlineLevelRow="0" outlineLevelCol="0"/>
  <cols>
    <col collapsed="false" customWidth="true" hidden="false" outlineLevel="0" max="9" min="5" style="0" width="18.82"/>
  </cols>
  <sheetData>
    <row r="5" customFormat="false" ht="15" hidden="false" customHeight="false" outlineLevel="0" collapsed="false">
      <c r="F5" s="0" t="s">
        <v>3</v>
      </c>
      <c r="M5" s="0" t="s">
        <v>3</v>
      </c>
    </row>
    <row r="6" customFormat="false" ht="15" hidden="false" customHeight="false" outlineLevel="0" collapsed="false">
      <c r="E6" s="1"/>
      <c r="F6" s="1" t="s">
        <v>1</v>
      </c>
      <c r="G6" s="2"/>
      <c r="H6" s="2"/>
      <c r="I6" s="2"/>
      <c r="J6" s="3"/>
      <c r="K6" s="3"/>
      <c r="L6" s="4"/>
      <c r="M6" s="1" t="s">
        <v>2</v>
      </c>
      <c r="N6" s="1"/>
      <c r="O6" s="1"/>
      <c r="P6" s="2"/>
    </row>
    <row r="7" customFormat="false" ht="15" hidden="false" customHeight="false" outlineLevel="0" collapsed="false">
      <c r="J7" s="3"/>
      <c r="K7" s="3"/>
    </row>
    <row r="8" customFormat="false" ht="15" hidden="false" customHeight="false" outlineLevel="0" collapsed="false">
      <c r="E8" s="0" t="n">
        <v>-5</v>
      </c>
      <c r="F8" s="0" t="n">
        <v>-4</v>
      </c>
      <c r="G8" s="0" t="n">
        <v>-3</v>
      </c>
      <c r="H8" s="0" t="n">
        <v>-2</v>
      </c>
      <c r="I8" s="0" t="n">
        <v>-1</v>
      </c>
      <c r="J8" s="3"/>
      <c r="K8" s="3"/>
      <c r="L8" s="0" t="n">
        <v>1</v>
      </c>
      <c r="M8" s="0" t="n">
        <v>2</v>
      </c>
      <c r="N8" s="0" t="n">
        <v>3</v>
      </c>
      <c r="O8" s="0" t="n">
        <v>4</v>
      </c>
      <c r="P8" s="0" t="n">
        <v>5</v>
      </c>
    </row>
    <row r="9" customFormat="false" ht="15" hidden="false" customHeight="false" outlineLevel="0" collapsed="false">
      <c r="D9" s="0" t="s">
        <v>4</v>
      </c>
      <c r="E9" s="44"/>
      <c r="J9" s="3"/>
      <c r="K9" s="3"/>
    </row>
    <row r="10" customFormat="false" ht="15" hidden="false" customHeight="false" outlineLevel="0" collapsed="false">
      <c r="D10" s="0" t="n">
        <v>1</v>
      </c>
      <c r="E10" s="6" t="n">
        <v>110</v>
      </c>
      <c r="F10" s="6" t="n">
        <v>106</v>
      </c>
      <c r="G10" s="6" t="n">
        <v>137</v>
      </c>
      <c r="H10" s="6" t="n">
        <v>153</v>
      </c>
      <c r="I10" s="6" t="n">
        <v>144</v>
      </c>
      <c r="J10" s="40"/>
      <c r="K10" s="3"/>
      <c r="L10" s="45" t="n">
        <v>63</v>
      </c>
      <c r="M10" s="45" t="n">
        <v>58</v>
      </c>
      <c r="N10" s="45" t="n">
        <v>30</v>
      </c>
      <c r="O10" s="45" t="n">
        <v>84</v>
      </c>
      <c r="P10" s="45" t="n">
        <v>60</v>
      </c>
    </row>
    <row r="11" customFormat="false" ht="15" hidden="false" customHeight="false" outlineLevel="0" collapsed="false">
      <c r="D11" s="0" t="n">
        <v>2</v>
      </c>
      <c r="E11" s="6" t="n">
        <v>75</v>
      </c>
      <c r="F11" s="6" t="n">
        <v>56</v>
      </c>
      <c r="G11" s="6" t="n">
        <v>115</v>
      </c>
      <c r="H11" s="6" t="n">
        <v>69</v>
      </c>
      <c r="I11" s="6" t="n">
        <v>52</v>
      </c>
      <c r="J11" s="40"/>
      <c r="K11" s="3"/>
      <c r="L11" s="45" t="n">
        <v>71</v>
      </c>
      <c r="M11" s="45" t="n">
        <v>79</v>
      </c>
      <c r="N11" s="45" t="n">
        <v>47</v>
      </c>
      <c r="O11" s="45" t="n">
        <v>86</v>
      </c>
      <c r="P11" s="45" t="n">
        <v>50</v>
      </c>
    </row>
    <row r="12" customFormat="false" ht="15" hidden="false" customHeight="false" outlineLevel="0" collapsed="false">
      <c r="D12" s="0" t="n">
        <v>3</v>
      </c>
      <c r="E12" s="6" t="n">
        <v>158</v>
      </c>
      <c r="F12" s="6" t="n">
        <v>93</v>
      </c>
      <c r="G12" s="6" t="n">
        <v>56</v>
      </c>
      <c r="H12" s="6" t="n">
        <v>77</v>
      </c>
      <c r="I12" s="6" t="n">
        <v>110</v>
      </c>
      <c r="J12" s="40"/>
      <c r="K12" s="8" t="s">
        <v>5</v>
      </c>
      <c r="L12" s="45" t="n">
        <v>133</v>
      </c>
      <c r="M12" s="45" t="n">
        <v>104</v>
      </c>
      <c r="N12" s="45" t="n">
        <v>102</v>
      </c>
      <c r="O12" s="45" t="n">
        <v>106</v>
      </c>
      <c r="P12" s="45" t="n">
        <v>167</v>
      </c>
    </row>
    <row r="13" customFormat="false" ht="15" hidden="false" customHeight="false" outlineLevel="0" collapsed="false">
      <c r="D13" s="0" t="n">
        <v>4</v>
      </c>
      <c r="E13" s="6" t="n">
        <v>138</v>
      </c>
      <c r="F13" s="6" t="n">
        <v>145</v>
      </c>
      <c r="G13" s="6" t="n">
        <v>136</v>
      </c>
      <c r="H13" s="6" t="n">
        <v>213</v>
      </c>
      <c r="I13" s="6" t="n">
        <v>130</v>
      </c>
      <c r="J13" s="40"/>
      <c r="K13" s="8" t="s">
        <v>6</v>
      </c>
      <c r="L13" s="45" t="n">
        <v>134</v>
      </c>
      <c r="M13" s="45" t="n">
        <v>135</v>
      </c>
      <c r="N13" s="45" t="n">
        <v>116</v>
      </c>
      <c r="O13" s="45" t="n">
        <v>191</v>
      </c>
      <c r="P13" s="45" t="n">
        <v>113</v>
      </c>
    </row>
    <row r="14" customFormat="false" ht="15" hidden="false" customHeight="false" outlineLevel="0" collapsed="false">
      <c r="D14" s="0" t="n">
        <v>5</v>
      </c>
      <c r="E14" s="6" t="n">
        <v>94</v>
      </c>
      <c r="F14" s="6" t="n">
        <v>100</v>
      </c>
      <c r="G14" s="6" t="n">
        <v>60</v>
      </c>
      <c r="H14" s="6" t="n">
        <v>122</v>
      </c>
      <c r="I14" s="6" t="n">
        <v>114</v>
      </c>
      <c r="J14" s="40"/>
      <c r="K14" s="8" t="s">
        <v>7</v>
      </c>
      <c r="L14" s="45" t="n">
        <v>93</v>
      </c>
      <c r="M14" s="45" t="n">
        <v>128</v>
      </c>
      <c r="N14" s="45" t="n">
        <v>98</v>
      </c>
      <c r="O14" s="45" t="n">
        <v>133</v>
      </c>
      <c r="P14" s="45" t="n">
        <v>130</v>
      </c>
    </row>
    <row r="15" customFormat="false" ht="15" hidden="false" customHeight="false" outlineLevel="0" collapsed="false">
      <c r="D15" s="0" t="n">
        <v>6</v>
      </c>
      <c r="E15" s="6" t="n">
        <v>53</v>
      </c>
      <c r="F15" s="6" t="n">
        <v>57</v>
      </c>
      <c r="G15" s="6" t="n">
        <v>32</v>
      </c>
      <c r="H15" s="6" t="n">
        <v>63</v>
      </c>
      <c r="I15" s="6" t="n">
        <v>79</v>
      </c>
      <c r="J15" s="40"/>
      <c r="K15" s="8" t="s">
        <v>8</v>
      </c>
      <c r="L15" s="45" t="n">
        <v>165</v>
      </c>
      <c r="M15" s="45" t="n">
        <v>85</v>
      </c>
      <c r="N15" s="45" t="n">
        <v>88</v>
      </c>
      <c r="O15" s="45" t="n">
        <v>116</v>
      </c>
      <c r="P15" s="45" t="n">
        <v>79</v>
      </c>
    </row>
    <row r="16" customFormat="false" ht="15" hidden="false" customHeight="false" outlineLevel="0" collapsed="false">
      <c r="D16" s="0" t="n">
        <v>7</v>
      </c>
      <c r="E16" s="6" t="n">
        <v>66</v>
      </c>
      <c r="F16" s="6" t="n">
        <v>58</v>
      </c>
      <c r="G16" s="6" t="n">
        <v>85</v>
      </c>
      <c r="H16" s="6" t="n">
        <v>121</v>
      </c>
      <c r="I16" s="6" t="n">
        <v>76</v>
      </c>
      <c r="J16" s="40"/>
      <c r="K16" s="8" t="s">
        <v>9</v>
      </c>
      <c r="L16" s="45" t="n">
        <v>87</v>
      </c>
      <c r="M16" s="45" t="n">
        <v>111</v>
      </c>
      <c r="N16" s="45" t="n">
        <v>82</v>
      </c>
      <c r="O16" s="45" t="n">
        <v>68</v>
      </c>
      <c r="P16" s="45" t="n">
        <v>106</v>
      </c>
    </row>
    <row r="17" customFormat="false" ht="15" hidden="false" customHeight="false" outlineLevel="0" collapsed="false">
      <c r="D17" s="0" t="n">
        <v>8</v>
      </c>
      <c r="E17" s="6" t="n">
        <v>111</v>
      </c>
      <c r="F17" s="6" t="n">
        <v>63</v>
      </c>
      <c r="G17" s="6" t="n">
        <v>55</v>
      </c>
      <c r="H17" s="6" t="n">
        <v>87</v>
      </c>
      <c r="I17" s="6" t="n">
        <v>120</v>
      </c>
      <c r="J17" s="40"/>
      <c r="K17" s="8" t="s">
        <v>7</v>
      </c>
      <c r="L17" s="45" t="n">
        <v>144</v>
      </c>
      <c r="M17" s="45" t="n">
        <v>145</v>
      </c>
      <c r="N17" s="45" t="n">
        <v>107</v>
      </c>
      <c r="O17" s="45" t="n">
        <v>100</v>
      </c>
      <c r="P17" s="45" t="n">
        <v>85</v>
      </c>
    </row>
    <row r="18" customFormat="false" ht="15" hidden="false" customHeight="false" outlineLevel="0" collapsed="false">
      <c r="D18" s="0" t="n">
        <v>9</v>
      </c>
      <c r="E18" s="6" t="n">
        <v>105</v>
      </c>
      <c r="F18" s="6" t="n">
        <v>70</v>
      </c>
      <c r="G18" s="6" t="n">
        <v>79</v>
      </c>
      <c r="H18" s="6" t="n">
        <v>107</v>
      </c>
      <c r="I18" s="6" t="n">
        <v>84</v>
      </c>
      <c r="J18" s="40"/>
      <c r="K18" s="8" t="s">
        <v>10</v>
      </c>
      <c r="L18" s="45" t="n">
        <v>138</v>
      </c>
      <c r="M18" s="45" t="n">
        <v>155</v>
      </c>
      <c r="N18" s="45" t="n">
        <v>93</v>
      </c>
      <c r="O18" s="45" t="n">
        <v>132</v>
      </c>
      <c r="P18" s="45" t="n">
        <v>109</v>
      </c>
    </row>
    <row r="19" customFormat="false" ht="15" hidden="false" customHeight="false" outlineLevel="0" collapsed="false">
      <c r="D19" s="0" t="n">
        <v>10</v>
      </c>
      <c r="E19" s="6" t="n">
        <v>79</v>
      </c>
      <c r="F19" s="6" t="n">
        <v>52</v>
      </c>
      <c r="G19" s="6" t="n">
        <v>66</v>
      </c>
      <c r="H19" s="6" t="n">
        <v>87</v>
      </c>
      <c r="I19" s="6" t="n">
        <v>100</v>
      </c>
      <c r="J19" s="40"/>
      <c r="K19" s="8"/>
      <c r="L19" s="45" t="n">
        <v>78</v>
      </c>
      <c r="M19" s="45" t="n">
        <v>74</v>
      </c>
      <c r="N19" s="45" t="n">
        <v>55</v>
      </c>
      <c r="O19" s="45" t="n">
        <v>68</v>
      </c>
      <c r="P19" s="45" t="n">
        <v>163</v>
      </c>
    </row>
    <row r="20" customFormat="false" ht="15" hidden="false" customHeight="false" outlineLevel="0" collapsed="false">
      <c r="D20" s="0" t="n">
        <v>11</v>
      </c>
      <c r="E20" s="6" t="n">
        <v>36</v>
      </c>
      <c r="F20" s="6" t="n">
        <v>71</v>
      </c>
      <c r="G20" s="6" t="n">
        <v>65</v>
      </c>
      <c r="H20" s="6" t="n">
        <v>144</v>
      </c>
      <c r="I20" s="6" t="n">
        <v>150</v>
      </c>
      <c r="J20" s="40"/>
      <c r="K20" s="8" t="s">
        <v>11</v>
      </c>
      <c r="L20" s="45" t="n">
        <v>82</v>
      </c>
      <c r="M20" s="45" t="n">
        <v>92</v>
      </c>
      <c r="N20" s="45" t="n">
        <v>89</v>
      </c>
      <c r="O20" s="45" t="n">
        <v>94</v>
      </c>
      <c r="P20" s="45" t="n">
        <v>110</v>
      </c>
    </row>
    <row r="21" customFormat="false" ht="15" hidden="false" customHeight="false" outlineLevel="0" collapsed="false">
      <c r="D21" s="0" t="n">
        <v>12</v>
      </c>
      <c r="E21" s="6" t="n">
        <v>66</v>
      </c>
      <c r="F21" s="6" t="n">
        <v>51</v>
      </c>
      <c r="G21" s="6" t="n">
        <v>54</v>
      </c>
      <c r="H21" s="6" t="n">
        <v>56</v>
      </c>
      <c r="I21" s="6" t="n">
        <v>55</v>
      </c>
      <c r="J21" s="40"/>
      <c r="K21" s="8"/>
      <c r="L21" s="45" t="n">
        <v>64</v>
      </c>
      <c r="M21" s="45" t="n">
        <v>82</v>
      </c>
      <c r="N21" s="45" t="n">
        <v>104</v>
      </c>
      <c r="O21" s="45" t="n">
        <v>104</v>
      </c>
      <c r="P21" s="45" t="n">
        <v>105</v>
      </c>
    </row>
    <row r="22" customFormat="false" ht="15" hidden="false" customHeight="false" outlineLevel="0" collapsed="false">
      <c r="D22" s="0" t="n">
        <v>13</v>
      </c>
      <c r="E22" s="6" t="n">
        <v>103</v>
      </c>
      <c r="F22" s="6" t="n">
        <v>57</v>
      </c>
      <c r="G22" s="6" t="n">
        <v>71</v>
      </c>
      <c r="H22" s="6" t="n">
        <v>115</v>
      </c>
      <c r="I22" s="6" t="n">
        <v>58</v>
      </c>
      <c r="J22" s="40"/>
      <c r="K22" s="8" t="s">
        <v>7</v>
      </c>
      <c r="L22" s="45" t="n">
        <v>91</v>
      </c>
      <c r="M22" s="45" t="n">
        <v>49</v>
      </c>
      <c r="N22" s="45" t="n">
        <v>118</v>
      </c>
      <c r="O22" s="45" t="n">
        <v>91</v>
      </c>
      <c r="P22" s="45" t="n">
        <v>96</v>
      </c>
    </row>
    <row r="23" customFormat="false" ht="15" hidden="false" customHeight="false" outlineLevel="0" collapsed="false">
      <c r="D23" s="0" t="n">
        <v>14</v>
      </c>
      <c r="E23" s="6" t="n">
        <v>67</v>
      </c>
      <c r="F23" s="6" t="n">
        <v>38</v>
      </c>
      <c r="G23" s="6" t="n">
        <v>78</v>
      </c>
      <c r="H23" s="6" t="n">
        <v>53</v>
      </c>
      <c r="I23" s="6" t="n">
        <v>63</v>
      </c>
      <c r="J23" s="40"/>
      <c r="K23" s="8" t="s">
        <v>9</v>
      </c>
      <c r="L23" s="45" t="n">
        <v>80</v>
      </c>
      <c r="M23" s="45" t="n">
        <v>59</v>
      </c>
      <c r="N23" s="45" t="n">
        <v>68</v>
      </c>
      <c r="O23" s="45" t="n">
        <v>102</v>
      </c>
      <c r="P23" s="45" t="n">
        <v>139</v>
      </c>
    </row>
    <row r="24" customFormat="false" ht="15" hidden="false" customHeight="false" outlineLevel="0" collapsed="false">
      <c r="D24" s="0" t="n">
        <v>15</v>
      </c>
      <c r="E24" s="6" t="n">
        <v>83</v>
      </c>
      <c r="F24" s="6" t="n">
        <v>69</v>
      </c>
      <c r="G24" s="6" t="n">
        <v>86</v>
      </c>
      <c r="H24" s="6" t="n">
        <v>83</v>
      </c>
      <c r="I24" s="6" t="n">
        <v>91</v>
      </c>
      <c r="J24" s="40"/>
      <c r="K24" s="8" t="s">
        <v>12</v>
      </c>
      <c r="L24" s="45" t="n">
        <v>90</v>
      </c>
      <c r="M24" s="45" t="n">
        <v>99</v>
      </c>
      <c r="N24" s="45" t="n">
        <v>130</v>
      </c>
      <c r="O24" s="45" t="n">
        <v>127</v>
      </c>
      <c r="P24" s="45" t="n">
        <v>165</v>
      </c>
    </row>
    <row r="25" customFormat="false" ht="15" hidden="false" customHeight="false" outlineLevel="0" collapsed="false">
      <c r="D25" s="0" t="n">
        <v>16</v>
      </c>
      <c r="E25" s="6" t="n">
        <v>116</v>
      </c>
      <c r="F25" s="6" t="n">
        <v>68</v>
      </c>
      <c r="G25" s="6" t="n">
        <v>66</v>
      </c>
      <c r="H25" s="6" t="n">
        <v>70</v>
      </c>
      <c r="I25" s="6" t="n">
        <v>79</v>
      </c>
      <c r="J25" s="40"/>
      <c r="K25" s="8" t="s">
        <v>13</v>
      </c>
      <c r="L25" s="45" t="n">
        <v>115</v>
      </c>
      <c r="M25" s="45" t="n">
        <v>123</v>
      </c>
      <c r="N25" s="45" t="n">
        <v>97</v>
      </c>
      <c r="O25" s="45" t="n">
        <v>84</v>
      </c>
      <c r="P25" s="45" t="n">
        <v>136</v>
      </c>
    </row>
    <row r="26" customFormat="false" ht="15" hidden="false" customHeight="false" outlineLevel="0" collapsed="false">
      <c r="D26" s="0" t="n">
        <v>17</v>
      </c>
      <c r="E26" s="6" t="n">
        <v>171</v>
      </c>
      <c r="F26" s="6" t="n">
        <v>115</v>
      </c>
      <c r="G26" s="6" t="n">
        <v>131</v>
      </c>
      <c r="H26" s="6" t="n">
        <v>138</v>
      </c>
      <c r="I26" s="6" t="n">
        <v>107</v>
      </c>
      <c r="J26" s="40"/>
      <c r="K26" s="8" t="s">
        <v>14</v>
      </c>
      <c r="L26" s="45" t="n">
        <v>112</v>
      </c>
      <c r="M26" s="45" t="n">
        <v>118</v>
      </c>
      <c r="N26" s="45" t="n">
        <v>199</v>
      </c>
      <c r="O26" s="45" t="n">
        <v>158</v>
      </c>
      <c r="P26" s="45" t="n">
        <v>151</v>
      </c>
    </row>
    <row r="27" customFormat="false" ht="15" hidden="false" customHeight="false" outlineLevel="0" collapsed="false">
      <c r="D27" s="0" t="n">
        <v>18</v>
      </c>
      <c r="E27" s="6" t="n">
        <v>133</v>
      </c>
      <c r="F27" s="6" t="n">
        <v>133</v>
      </c>
      <c r="G27" s="6" t="n">
        <v>88</v>
      </c>
      <c r="H27" s="6" t="n">
        <v>135</v>
      </c>
      <c r="I27" s="6" t="n">
        <v>140</v>
      </c>
      <c r="J27" s="40"/>
      <c r="K27" s="8" t="s">
        <v>9</v>
      </c>
      <c r="L27" s="45" t="n">
        <v>158</v>
      </c>
      <c r="M27" s="45" t="n">
        <v>143</v>
      </c>
      <c r="N27" s="45" t="n">
        <v>177</v>
      </c>
      <c r="O27" s="45" t="n">
        <v>190</v>
      </c>
      <c r="P27" s="45" t="n">
        <v>162</v>
      </c>
    </row>
    <row r="28" customFormat="false" ht="15" hidden="false" customHeight="false" outlineLevel="0" collapsed="false">
      <c r="D28" s="0" t="n">
        <v>19</v>
      </c>
      <c r="E28" s="6" t="n">
        <v>102</v>
      </c>
      <c r="F28" s="6" t="n">
        <v>52</v>
      </c>
      <c r="G28" s="6" t="n">
        <v>93</v>
      </c>
      <c r="H28" s="6" t="n">
        <v>70</v>
      </c>
      <c r="I28" s="6" t="n">
        <v>73</v>
      </c>
      <c r="J28" s="40"/>
      <c r="K28" s="8" t="s">
        <v>7</v>
      </c>
      <c r="L28" s="45" t="n">
        <v>123</v>
      </c>
      <c r="M28" s="45" t="n">
        <v>89</v>
      </c>
      <c r="N28" s="45" t="n">
        <v>135</v>
      </c>
      <c r="O28" s="45" t="n">
        <v>89</v>
      </c>
      <c r="P28" s="45" t="n">
        <v>157</v>
      </c>
    </row>
    <row r="29" customFormat="false" ht="15" hidden="false" customHeight="false" outlineLevel="0" collapsed="false">
      <c r="D29" s="0" t="n">
        <v>20</v>
      </c>
      <c r="E29" s="6" t="n">
        <v>144</v>
      </c>
      <c r="F29" s="6" t="n">
        <v>102</v>
      </c>
      <c r="G29" s="6" t="n">
        <v>112</v>
      </c>
      <c r="H29" s="6" t="n">
        <v>133</v>
      </c>
      <c r="I29" s="6" t="n">
        <v>120</v>
      </c>
      <c r="J29" s="40"/>
      <c r="K29" s="8" t="s">
        <v>10</v>
      </c>
      <c r="L29" s="45" t="n">
        <v>206</v>
      </c>
      <c r="M29" s="45" t="n">
        <v>150</v>
      </c>
      <c r="N29" s="45" t="n">
        <v>198</v>
      </c>
      <c r="O29" s="45" t="n">
        <v>223</v>
      </c>
      <c r="P29" s="45" t="n">
        <v>197</v>
      </c>
    </row>
    <row r="30" customFormat="false" ht="15" hidden="false" customHeight="false" outlineLevel="0" collapsed="false">
      <c r="D30" s="0" t="n">
        <v>21</v>
      </c>
      <c r="E30" s="6" t="n">
        <v>220</v>
      </c>
      <c r="F30" s="6" t="n">
        <v>159</v>
      </c>
      <c r="G30" s="6" t="n">
        <v>131</v>
      </c>
      <c r="H30" s="6" t="n">
        <v>214</v>
      </c>
      <c r="I30" s="6" t="n">
        <v>177</v>
      </c>
      <c r="J30" s="40"/>
      <c r="K30" s="3"/>
      <c r="L30" s="45" t="n">
        <v>189</v>
      </c>
      <c r="M30" s="45" t="n">
        <v>168</v>
      </c>
      <c r="N30" s="45" t="n">
        <v>121</v>
      </c>
      <c r="O30" s="45" t="n">
        <v>188</v>
      </c>
      <c r="P30" s="45" t="n">
        <v>193</v>
      </c>
    </row>
    <row r="31" customFormat="false" ht="15" hidden="false" customHeight="false" outlineLevel="0" collapsed="false">
      <c r="D31" s="0" t="n">
        <v>22</v>
      </c>
      <c r="E31" s="6" t="n">
        <v>148</v>
      </c>
      <c r="F31" s="6" t="n">
        <v>53</v>
      </c>
      <c r="G31" s="6" t="n">
        <v>77</v>
      </c>
      <c r="H31" s="6" t="n">
        <v>105</v>
      </c>
      <c r="I31" s="6" t="n">
        <v>77</v>
      </c>
      <c r="J31" s="40"/>
      <c r="K31" s="3"/>
      <c r="L31" s="45" t="n">
        <v>124</v>
      </c>
      <c r="M31" s="45" t="n">
        <v>76</v>
      </c>
      <c r="N31" s="45" t="n">
        <v>145</v>
      </c>
      <c r="O31" s="45" t="n">
        <v>103</v>
      </c>
      <c r="P31" s="45" t="n">
        <v>134</v>
      </c>
    </row>
    <row r="32" customFormat="false" ht="15" hidden="false" customHeight="false" outlineLevel="0" collapsed="false">
      <c r="D32" s="0" t="n">
        <v>23</v>
      </c>
      <c r="E32" s="6" t="n">
        <v>74</v>
      </c>
      <c r="F32" s="6" t="n">
        <v>67</v>
      </c>
      <c r="G32" s="6" t="n">
        <v>100</v>
      </c>
      <c r="H32" s="6" t="n">
        <v>81</v>
      </c>
      <c r="I32" s="6" t="n">
        <v>54</v>
      </c>
      <c r="J32" s="40"/>
      <c r="K32" s="3"/>
      <c r="L32" s="45" t="n">
        <v>142</v>
      </c>
      <c r="M32" s="45" t="n">
        <v>101</v>
      </c>
      <c r="N32" s="45" t="n">
        <v>87</v>
      </c>
      <c r="O32" s="45" t="n">
        <v>86</v>
      </c>
      <c r="P32" s="45" t="n">
        <v>110</v>
      </c>
    </row>
    <row r="33" customFormat="false" ht="15" hidden="false" customHeight="false" outlineLevel="0" collapsed="false">
      <c r="D33" s="0" t="n">
        <v>24</v>
      </c>
      <c r="E33" s="6" t="n">
        <v>74</v>
      </c>
      <c r="F33" s="6" t="n">
        <v>40</v>
      </c>
      <c r="G33" s="6" t="n">
        <v>57</v>
      </c>
      <c r="H33" s="6" t="n">
        <v>38</v>
      </c>
      <c r="I33" s="6" t="n">
        <v>70</v>
      </c>
      <c r="J33" s="40"/>
      <c r="K33" s="3"/>
      <c r="L33" s="45" t="n">
        <v>60</v>
      </c>
      <c r="M33" s="45" t="n">
        <v>61</v>
      </c>
      <c r="N33" s="45" t="n">
        <v>141</v>
      </c>
      <c r="O33" s="45" t="n">
        <v>78</v>
      </c>
      <c r="P33" s="45" t="n">
        <v>72</v>
      </c>
    </row>
    <row r="34" customFormat="false" ht="15" hidden="false" customHeight="false" outlineLevel="0" collapsed="false">
      <c r="J34" s="3"/>
      <c r="K34" s="3"/>
    </row>
    <row r="35" customFormat="false" ht="15" hidden="false" customHeight="false" outlineLevel="0" collapsed="false">
      <c r="D35" s="0" t="s">
        <v>15</v>
      </c>
      <c r="E35" s="11" t="n">
        <f aca="false">AVERAGE(E10:E33)</f>
        <v>105.25</v>
      </c>
      <c r="F35" s="11" t="n">
        <f aca="false">AVERAGE(F10:F33)</f>
        <v>78.125</v>
      </c>
      <c r="G35" s="11" t="n">
        <f aca="false">AVERAGE(G10:G33)</f>
        <v>84.5833333333333</v>
      </c>
      <c r="H35" s="11" t="n">
        <f aca="false">AVERAGE(H10:H33)</f>
        <v>105.583333333333</v>
      </c>
      <c r="I35" s="11" t="n">
        <f aca="false">AVERAGE(I10:I33)</f>
        <v>96.7916666666667</v>
      </c>
      <c r="J35" s="27"/>
      <c r="K35" s="27"/>
      <c r="L35" s="11" t="n">
        <f aca="false">AVERAGE(L10:L33)</f>
        <v>114.25</v>
      </c>
      <c r="M35" s="11" t="n">
        <f aca="false">AVERAGE(M10:M33)</f>
        <v>103.5</v>
      </c>
      <c r="N35" s="11" t="n">
        <f aca="false">AVERAGE(N10:N33)</f>
        <v>109.458333333333</v>
      </c>
      <c r="O35" s="11" t="n">
        <f aca="false">AVERAGE(O10:O33)</f>
        <v>116.708333333333</v>
      </c>
      <c r="P35" s="11" t="n">
        <f aca="false">AVERAGE(P10:P33)</f>
        <v>124.541666666667</v>
      </c>
    </row>
    <row r="36" customFormat="false" ht="15" hidden="false" customHeight="false" outlineLevel="0" collapsed="false">
      <c r="D36" s="0" t="s">
        <v>16</v>
      </c>
      <c r="E36" s="11" t="n">
        <f aca="false">_xlfn.STDEV.S(E10:E23)</f>
        <v>33.3869257822102</v>
      </c>
      <c r="F36" s="11" t="n">
        <f aca="false">_xlfn.STDEV.S(F10:F23)</f>
        <v>28.6748540144018</v>
      </c>
      <c r="G36" s="11" t="n">
        <f aca="false">_xlfn.STDEV.S(G10:G23)</f>
        <v>31.1995526876923</v>
      </c>
      <c r="H36" s="11" t="n">
        <f aca="false">_xlfn.STDEV.S(H10:H23)</f>
        <v>44.492313202012</v>
      </c>
      <c r="I36" s="11" t="n">
        <f aca="false">_xlfn.STDEV.S(I10:I23)</f>
        <v>33.3572899260235</v>
      </c>
      <c r="J36" s="27"/>
      <c r="K36" s="27"/>
      <c r="L36" s="11" t="n">
        <f aca="false">_xlfn.STDEV.S(L10:L23)</f>
        <v>33.7698252719954</v>
      </c>
      <c r="M36" s="11" t="n">
        <f aca="false">_xlfn.STDEV.S(M10:M23)</f>
        <v>33.7795048077225</v>
      </c>
      <c r="N36" s="11" t="n">
        <f aca="false">_xlfn.STDEV.S(N10:N23)</f>
        <v>26.465507305228</v>
      </c>
      <c r="O36" s="11" t="n">
        <f aca="false">_xlfn.STDEV.S(O10:O23)</f>
        <v>31.5268070130732</v>
      </c>
      <c r="P36" s="11" t="n">
        <f aca="false">_xlfn.STDEV.S(P10:P23)</f>
        <v>34.1670106299134</v>
      </c>
    </row>
    <row r="37" customFormat="false" ht="15" hidden="false" customHeight="false" outlineLevel="0" collapsed="false">
      <c r="D37" s="0" t="s">
        <v>17</v>
      </c>
      <c r="E37" s="11" t="n">
        <f aca="false">E36/SQRT(14)</f>
        <v>8.92303124819144</v>
      </c>
      <c r="F37" s="11" t="n">
        <f aca="false">F36/SQRT(14)</f>
        <v>7.66367709554648</v>
      </c>
      <c r="G37" s="11" t="n">
        <f aca="false">G36/SQRT(14)</f>
        <v>8.33843119842476</v>
      </c>
      <c r="H37" s="11" t="n">
        <f aca="false">H36/SQRT(14)</f>
        <v>11.8910708819263</v>
      </c>
      <c r="I37" s="11" t="n">
        <f aca="false">I36/SQRT(14)</f>
        <v>8.91511073246186</v>
      </c>
      <c r="J37" s="27"/>
      <c r="K37" s="27"/>
      <c r="L37" s="11" t="n">
        <f aca="false">L36/SQRT(14)</f>
        <v>9.02536544135907</v>
      </c>
      <c r="M37" s="11" t="n">
        <f aca="false">M36/SQRT(14)</f>
        <v>9.02795240609862</v>
      </c>
      <c r="N37" s="11" t="n">
        <f aca="false">N36/SQRT(14)</f>
        <v>7.07320435023758</v>
      </c>
      <c r="O37" s="11" t="n">
        <f aca="false">O36/SQRT(14)</f>
        <v>8.42589359584727</v>
      </c>
      <c r="P37" s="11" t="n">
        <f aca="false">P36/SQRT(14)</f>
        <v>9.13151769338566</v>
      </c>
    </row>
    <row r="38" customFormat="false" ht="15" hidden="false" customHeight="false" outlineLevel="0" collapsed="false">
      <c r="E38" s="28"/>
      <c r="F38" s="28"/>
      <c r="G38" s="28"/>
      <c r="H38" s="28"/>
      <c r="I38" s="28"/>
      <c r="J38" s="3"/>
      <c r="K38" s="28"/>
      <c r="L38" s="28"/>
      <c r="M38" s="28"/>
      <c r="N38" s="28"/>
      <c r="O38" s="3"/>
      <c r="P38" s="3"/>
    </row>
    <row r="39" customFormat="false" ht="15" hidden="false" customHeight="false" outlineLevel="0" collapsed="false">
      <c r="B39" s="13" t="s">
        <v>18</v>
      </c>
      <c r="D39" s="14" t="s">
        <v>15</v>
      </c>
      <c r="E39" s="29" t="n">
        <f aca="false">AVERAGE(E10:E12,E15:E17,E22:E23,E26:E27,E30,E33)</f>
        <v>111.75</v>
      </c>
      <c r="F39" s="29" t="n">
        <f aca="false">AVERAGE(F10:F12,F15:F17,F22:F23,F26:F27,F30,F33)</f>
        <v>81.25</v>
      </c>
      <c r="G39" s="29" t="n">
        <f aca="false">AVERAGE(G10:G12,G15:G17,G22:G23,G26:G27,G30,G33)</f>
        <v>86.3333333333333</v>
      </c>
      <c r="H39" s="29" t="n">
        <f aca="false">AVERAGE(H10:H12,H15:H17,H22:H23,H26:H27,H30,H33)</f>
        <v>105.25</v>
      </c>
      <c r="I39" s="29" t="n">
        <f aca="false">AVERAGE(I10:I12,I15:I17,I22:I23,I26:I27,I30,I33)</f>
        <v>99.6666666666667</v>
      </c>
      <c r="J39" s="28"/>
      <c r="K39" s="28"/>
      <c r="L39" s="29" t="n">
        <f aca="false">AVERAGE(L10:L12,L15:L17,L22:L23,L26:L27,L30,L33)</f>
        <v>112.75</v>
      </c>
      <c r="M39" s="29" t="n">
        <f aca="false">AVERAGE(M10:M12,M15:M17,M22:M23,M26:M27,M30,M33)</f>
        <v>98.3333333333333</v>
      </c>
      <c r="N39" s="29" t="n">
        <f aca="false">AVERAGE(N10:N12,N15:N17,N22:N23,N26:N27,N30,N33)</f>
        <v>106.666666666667</v>
      </c>
      <c r="O39" s="29" t="n">
        <f aca="false">AVERAGE(O10:O12,O15:O17,O22:O23,O26:O27,O30,O33)</f>
        <v>113.916666666667</v>
      </c>
      <c r="P39" s="29" t="n">
        <f aca="false">AVERAGE(P10:P12,P15:P17,P22:P23,P26:P27,P30,P33)</f>
        <v>113.333333333333</v>
      </c>
    </row>
    <row r="40" customFormat="false" ht="15" hidden="false" customHeight="false" outlineLevel="0" collapsed="false">
      <c r="D40" s="0" t="s">
        <v>16</v>
      </c>
      <c r="E40" s="29" t="n">
        <f aca="false">STDEV(E10:E12,E15:E17,E22:E23,E27:E28,E30,E33)</f>
        <v>47.1072277797252</v>
      </c>
      <c r="F40" s="29" t="n">
        <f aca="false">STDEV(F10:F12,F15:F17,F22:F23,F27:F28,F30,F33)</f>
        <v>38.4447655734822</v>
      </c>
      <c r="G40" s="29" t="n">
        <f aca="false">STDEV(G10:G12,G15:G17,G22:G23,G27:G28,G30,G33)</f>
        <v>32.0959735037203</v>
      </c>
      <c r="H40" s="29" t="n">
        <f aca="false">STDEV(H10:H12,H15:H17,H22:H23,H27:H28,H30,H33)</f>
        <v>50.158763094314</v>
      </c>
      <c r="I40" s="29" t="n">
        <f aca="false">STDEV(I10:I12,I15:I17,I22:I23,I27:I28,I30,I33)</f>
        <v>40.3706313895123</v>
      </c>
      <c r="J40" s="28"/>
      <c r="K40" s="28"/>
      <c r="L40" s="29" t="n">
        <f aca="false">STDEV(L10:L12,L15:L17,L22:L23,L27:L28,L30,L33)</f>
        <v>43.9862237386648</v>
      </c>
      <c r="M40" s="29" t="n">
        <f aca="false">STDEV(M10:M12,M15:M17,M22:M23,M27:M28,M30,M33)</f>
        <v>39.0674436265691</v>
      </c>
      <c r="N40" s="29" t="n">
        <f aca="false">STDEV(N10:N12,N15:N17,N22:N23,N27:N28,N30,N33)</f>
        <v>41.3770541008009</v>
      </c>
      <c r="O40" s="29" t="n">
        <f aca="false">STDEV(O10:O12,O15:O17,O22:O23,O27:O28,O30,O33)</f>
        <v>39.888101058594</v>
      </c>
      <c r="P40" s="29" t="n">
        <f aca="false">STDEV(P10:P12,P15:P17,P22:P23,P27:P28,P30,P33)</f>
        <v>47.72808080124</v>
      </c>
    </row>
    <row r="41" customFormat="false" ht="15" hidden="false" customHeight="false" outlineLevel="0" collapsed="false">
      <c r="D41" s="0" t="s">
        <v>17</v>
      </c>
      <c r="E41" s="29" t="n">
        <f aca="false">E40/SQRT(12)</f>
        <v>13.5986853197007</v>
      </c>
      <c r="F41" s="29" t="n">
        <f aca="false">F40/SQRT(12)</f>
        <v>11.098047876391</v>
      </c>
      <c r="G41" s="29" t="n">
        <f aca="false">G40/SQRT(12)</f>
        <v>9.26530947113801</v>
      </c>
      <c r="H41" s="29" t="n">
        <f aca="false">H40/SQRT(12)</f>
        <v>14.4795876873604</v>
      </c>
      <c r="I41" s="29" t="n">
        <f aca="false">I40/SQRT(12)</f>
        <v>11.6539974500451</v>
      </c>
      <c r="J41" s="28"/>
      <c r="K41" s="28"/>
      <c r="L41" s="29" t="n">
        <f aca="false">L40/SQRT(12)</f>
        <v>12.6977290580766</v>
      </c>
      <c r="M41" s="29" t="n">
        <f aca="false">M40/SQRT(12)</f>
        <v>11.2777995471751</v>
      </c>
      <c r="N41" s="29" t="n">
        <f aca="false">N40/SQRT(12)</f>
        <v>11.9445266616856</v>
      </c>
      <c r="O41" s="29" t="n">
        <f aca="false">O40/SQRT(12)</f>
        <v>11.5147029418211</v>
      </c>
      <c r="P41" s="29" t="n">
        <f aca="false">P40/SQRT(12)</f>
        <v>13.7779101492501</v>
      </c>
    </row>
    <row r="42" customFormat="false" ht="15" hidden="false" customHeight="false" outlineLevel="0" collapsed="false"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</row>
    <row r="43" customFormat="false" ht="15" hidden="false" customHeight="false" outlineLevel="0" collapsed="false">
      <c r="B43" s="16" t="s">
        <v>19</v>
      </c>
      <c r="D43" s="14" t="s">
        <v>15</v>
      </c>
      <c r="E43" s="46" t="n">
        <f aca="false">AVERAGE(E13:E14,E18:E21,E24:E25,E28:E29,E31:E32)</f>
        <v>98.75</v>
      </c>
      <c r="F43" s="46" t="n">
        <f aca="false">AVERAGE(F13:F14,F18:F21,F24:F25,F28:F29,F31:F32)</f>
        <v>75</v>
      </c>
      <c r="G43" s="46" t="n">
        <f aca="false">AVERAGE(G13:G14,G18:G21,G24:G25,G28:G29,G31:G32)</f>
        <v>82.8333333333333</v>
      </c>
      <c r="H43" s="46" t="n">
        <f aca="false">AVERAGE(H13:H14,H18:H21,H24:H25,H28:H29,H31:H32)</f>
        <v>105.916666666667</v>
      </c>
      <c r="I43" s="46" t="n">
        <f aca="false">AVERAGE(I13:I14,I18:I21,I24:I25,I28:I29,I31:I32)</f>
        <v>93.9166666666667</v>
      </c>
      <c r="J43" s="28"/>
      <c r="K43" s="28"/>
      <c r="L43" s="46" t="n">
        <f aca="false">AVERAGE(L13:L14,L18:L21,L24:L25,L28:L29,L31:L32)</f>
        <v>115.75</v>
      </c>
      <c r="M43" s="46" t="n">
        <f aca="false">AVERAGE(M13:M14,M18:M21,M24:M25,M28:M29,M31:M32)</f>
        <v>108.666666666667</v>
      </c>
      <c r="N43" s="46" t="n">
        <f aca="false">AVERAGE(N13:N14,N18:N21,N24:N25,N28:N29,N31:N32)</f>
        <v>112.25</v>
      </c>
      <c r="O43" s="46" t="n">
        <f aca="false">AVERAGE(O13:O14,O18:O21,O24:O25,O28:O29,O31:O32)</f>
        <v>119.5</v>
      </c>
      <c r="P43" s="46" t="n">
        <f aca="false">AVERAGE(P13:P14,P18:P21,P24:P25,P28:P29,P31:P32)</f>
        <v>135.75</v>
      </c>
    </row>
    <row r="44" customFormat="false" ht="15" hidden="false" customHeight="false" outlineLevel="0" collapsed="false">
      <c r="D44" s="0" t="s">
        <v>16</v>
      </c>
      <c r="E44" s="46" t="n">
        <f aca="false">STDEV(E13:E14,E18:E21,E24:E26,E29,E31:E32)</f>
        <v>39.8371685740842</v>
      </c>
      <c r="F44" s="46" t="n">
        <f aca="false">STDEV(F13:F14,F18:F21,F24:F26,F29,F31:F32)</f>
        <v>29.0802182060089</v>
      </c>
      <c r="G44" s="46" t="n">
        <f aca="false">STDEV(G13:G14,G18:G21,G24:G26,G29,G31:G32)</f>
        <v>27.7455975213759</v>
      </c>
      <c r="H44" s="46" t="n">
        <f aca="false">STDEV(H13:H14,H18:H21,H24:H26,H29,H31:H32)</f>
        <v>42.4702212964531</v>
      </c>
      <c r="I44" s="46" t="n">
        <f aca="false">STDEV(I13:I14,I18:I21,I24:I26,I29,I31:I32)</f>
        <v>29.1800834941793</v>
      </c>
      <c r="J44" s="28"/>
      <c r="K44" s="28"/>
      <c r="L44" s="46" t="n">
        <f aca="false">STDEV(L13:L14,L18:L21,L24:L26,L29,L31:L32)</f>
        <v>38.3259544940343</v>
      </c>
      <c r="M44" s="46" t="n">
        <f aca="false">STDEV(M13:M14,M18:M21,M24:M26,M29,M31:M32)</f>
        <v>27.8876262340432</v>
      </c>
      <c r="N44" s="46" t="n">
        <f aca="false">STDEV(N13:N14,N18:N21,N24:N26,N29,N31:N32)</f>
        <v>43.9720124486915</v>
      </c>
      <c r="O44" s="46" t="n">
        <f aca="false">STDEV(O13:O14,O18:O21,O24:O26,O29,O31:O32)</f>
        <v>46.2230265324349</v>
      </c>
      <c r="P44" s="46" t="n">
        <f aca="false">STDEV(P13:P14,P18:P21,P24:P26,P29,P31:P32)</f>
        <v>28.7943334071764</v>
      </c>
    </row>
    <row r="45" customFormat="false" ht="15" hidden="false" customHeight="false" outlineLevel="0" collapsed="false">
      <c r="D45" s="0" t="s">
        <v>17</v>
      </c>
      <c r="E45" s="46" t="n">
        <f aca="false">E44/SQRT(12)</f>
        <v>11.5</v>
      </c>
      <c r="F45" s="46" t="n">
        <f aca="false">F44/SQRT(12)</f>
        <v>8.39473590466615</v>
      </c>
      <c r="G45" s="46" t="n">
        <f aca="false">G44/SQRT(12)</f>
        <v>8.0094640988967</v>
      </c>
      <c r="H45" s="46" t="n">
        <f aca="false">H44/SQRT(12)</f>
        <v>12.2600968490251</v>
      </c>
      <c r="I45" s="46" t="n">
        <f aca="false">I44/SQRT(12)</f>
        <v>8.42356453017008</v>
      </c>
      <c r="J45" s="28"/>
      <c r="K45" s="28"/>
      <c r="L45" s="46" t="n">
        <f aca="false">L44/SQRT(12)</f>
        <v>11.06375007204</v>
      </c>
      <c r="M45" s="46" t="n">
        <f aca="false">M44/SQRT(12)</f>
        <v>8.05046425664227</v>
      </c>
      <c r="N45" s="46" t="n">
        <f aca="false">N44/SQRT(12)</f>
        <v>12.6936266120308</v>
      </c>
      <c r="O45" s="46" t="n">
        <f aca="false">O44/SQRT(12)</f>
        <v>13.3434384056303</v>
      </c>
      <c r="P45" s="46" t="n">
        <f aca="false">P44/SQRT(12)</f>
        <v>8.31220807188457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ZI Mannheim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2026-05-28T11:54:59Z</dcterms:created>
  <dc:creator>Ahmad, Salman</dc:creator>
  <dc:description/>
  <dc:language>en-US</dc:language>
  <cp:lastModifiedBy/>
  <dcterms:modified xsi:type="dcterms:W3CDTF">2026-06-30T08:34:19Z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