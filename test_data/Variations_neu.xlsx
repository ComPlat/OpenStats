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ccfs-home.scc.kit.edu\HOME\Desktop\"/>
    </mc:Choice>
  </mc:AlternateContent>
  <xr:revisionPtr revIDLastSave="0" documentId="13_ncr:1_{7CF4BAD8-AF77-454B-85D9-B8E7617D6DB9}" xr6:coauthVersionLast="47" xr6:coauthVersionMax="47" xr10:uidLastSave="{00000000-0000-0000-0000-000000000000}"/>
  <bookViews>
    <workbookView xWindow="28680" yWindow="-120" windowWidth="29040" windowHeight="15720" activeTab="1" xr2:uid="{AB7F60D0-16BC-4C4D-8FD2-4A3EDA8974E9}"/>
  </bookViews>
  <sheets>
    <sheet name="Testungen" sheetId="1" r:id="rId1"/>
    <sheet name="Übersic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2" l="1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O109" i="1"/>
  <c r="M109" i="1"/>
  <c r="K109" i="1"/>
  <c r="P109" i="1" s="1"/>
  <c r="Q109" i="1" s="1"/>
  <c r="R108" i="1"/>
  <c r="Q108" i="1"/>
  <c r="P108" i="1"/>
  <c r="O108" i="1"/>
  <c r="M108" i="1"/>
  <c r="K108" i="1"/>
  <c r="P107" i="1"/>
  <c r="Q107" i="1" s="1"/>
  <c r="O107" i="1"/>
  <c r="M107" i="1"/>
  <c r="K107" i="1"/>
  <c r="V106" i="1"/>
  <c r="P106" i="1"/>
  <c r="Q106" i="1" s="1"/>
  <c r="O106" i="1"/>
  <c r="M106" i="1"/>
  <c r="K106" i="1"/>
  <c r="V105" i="1"/>
  <c r="R105" i="1"/>
  <c r="Q105" i="1"/>
  <c r="P105" i="1"/>
  <c r="O105" i="1"/>
  <c r="M105" i="1"/>
  <c r="K105" i="1"/>
  <c r="V104" i="1"/>
  <c r="Q104" i="1"/>
  <c r="P104" i="1"/>
  <c r="O104" i="1"/>
  <c r="M104" i="1"/>
  <c r="K104" i="1"/>
  <c r="M103" i="1"/>
  <c r="O103" i="1" s="1"/>
  <c r="P103" i="1" s="1"/>
  <c r="K103" i="1"/>
  <c r="R102" i="1"/>
  <c r="P102" i="1"/>
  <c r="W105" i="1" s="1"/>
  <c r="O102" i="1"/>
  <c r="M102" i="1"/>
  <c r="K102" i="1"/>
  <c r="P101" i="1"/>
  <c r="W104" i="1" s="1"/>
  <c r="O101" i="1"/>
  <c r="M101" i="1"/>
  <c r="K101" i="1"/>
  <c r="M100" i="1"/>
  <c r="O100" i="1" s="1"/>
  <c r="P100" i="1" s="1"/>
  <c r="Q100" i="1" s="1"/>
  <c r="K100" i="1"/>
  <c r="R99" i="1"/>
  <c r="P99" i="1"/>
  <c r="Q99" i="1" s="1"/>
  <c r="O99" i="1"/>
  <c r="M99" i="1"/>
  <c r="K99" i="1"/>
  <c r="P98" i="1"/>
  <c r="Q98" i="1" s="1"/>
  <c r="O98" i="1"/>
  <c r="M98" i="1"/>
  <c r="K98" i="1"/>
  <c r="V97" i="1"/>
  <c r="P97" i="1"/>
  <c r="Q97" i="1" s="1"/>
  <c r="O97" i="1"/>
  <c r="M97" i="1"/>
  <c r="K97" i="1"/>
  <c r="V96" i="1"/>
  <c r="R96" i="1"/>
  <c r="M96" i="1"/>
  <c r="O96" i="1" s="1"/>
  <c r="P96" i="1" s="1"/>
  <c r="Q96" i="1" s="1"/>
  <c r="K96" i="1"/>
  <c r="V95" i="1"/>
  <c r="M95" i="1"/>
  <c r="O95" i="1" s="1"/>
  <c r="P95" i="1" s="1"/>
  <c r="Q95" i="1" s="1"/>
  <c r="K95" i="1"/>
  <c r="M94" i="1"/>
  <c r="O94" i="1" s="1"/>
  <c r="P94" i="1" s="1"/>
  <c r="K94" i="1"/>
  <c r="R93" i="1"/>
  <c r="O93" i="1"/>
  <c r="M93" i="1"/>
  <c r="K93" i="1"/>
  <c r="P93" i="1" s="1"/>
  <c r="M92" i="1"/>
  <c r="O92" i="1" s="1"/>
  <c r="P92" i="1" s="1"/>
  <c r="K92" i="1"/>
  <c r="O91" i="1"/>
  <c r="P91" i="1" s="1"/>
  <c r="Q91" i="1" s="1"/>
  <c r="M91" i="1"/>
  <c r="K91" i="1"/>
  <c r="R90" i="1"/>
  <c r="O90" i="1"/>
  <c r="M90" i="1"/>
  <c r="K90" i="1"/>
  <c r="P90" i="1" s="1"/>
  <c r="Q90" i="1" s="1"/>
  <c r="O89" i="1"/>
  <c r="P89" i="1" s="1"/>
  <c r="M89" i="1"/>
  <c r="K89" i="1"/>
  <c r="V88" i="1"/>
  <c r="O88" i="1"/>
  <c r="P88" i="1" s="1"/>
  <c r="Q88" i="1" s="1"/>
  <c r="M88" i="1"/>
  <c r="K88" i="1"/>
  <c r="V87" i="1"/>
  <c r="R87" i="1"/>
  <c r="P87" i="1"/>
  <c r="Q87" i="1" s="1"/>
  <c r="O87" i="1"/>
  <c r="M87" i="1"/>
  <c r="K87" i="1"/>
  <c r="V86" i="1"/>
  <c r="P86" i="1"/>
  <c r="Q86" i="1" s="1"/>
  <c r="O86" i="1"/>
  <c r="M86" i="1"/>
  <c r="K86" i="1"/>
  <c r="P85" i="1"/>
  <c r="O85" i="1"/>
  <c r="M85" i="1"/>
  <c r="K85" i="1"/>
  <c r="R84" i="1"/>
  <c r="M84" i="1"/>
  <c r="O84" i="1" s="1"/>
  <c r="P84" i="1" s="1"/>
  <c r="K84" i="1"/>
  <c r="P83" i="1"/>
  <c r="Q83" i="1" s="1"/>
  <c r="O83" i="1"/>
  <c r="M83" i="1"/>
  <c r="K83" i="1"/>
  <c r="O82" i="1"/>
  <c r="P82" i="1" s="1"/>
  <c r="Q82" i="1" s="1"/>
  <c r="M82" i="1"/>
  <c r="K82" i="1"/>
  <c r="R81" i="1"/>
  <c r="M81" i="1"/>
  <c r="O81" i="1" s="1"/>
  <c r="P81" i="1" s="1"/>
  <c r="Q81" i="1" s="1"/>
  <c r="K81" i="1"/>
  <c r="P80" i="1"/>
  <c r="Q80" i="1" s="1"/>
  <c r="X77" i="1" s="1"/>
  <c r="O80" i="1"/>
  <c r="M80" i="1"/>
  <c r="K80" i="1"/>
  <c r="V79" i="1"/>
  <c r="P79" i="1"/>
  <c r="Q79" i="1" s="1"/>
  <c r="O79" i="1"/>
  <c r="M79" i="1"/>
  <c r="K79" i="1"/>
  <c r="V78" i="1"/>
  <c r="R78" i="1"/>
  <c r="Q78" i="1"/>
  <c r="P78" i="1"/>
  <c r="O78" i="1"/>
  <c r="M78" i="1"/>
  <c r="K78" i="1"/>
  <c r="W77" i="1"/>
  <c r="V77" i="1"/>
  <c r="Q77" i="1"/>
  <c r="P77" i="1"/>
  <c r="O77" i="1"/>
  <c r="M77" i="1"/>
  <c r="K77" i="1"/>
  <c r="M76" i="1"/>
  <c r="O76" i="1" s="1"/>
  <c r="P76" i="1" s="1"/>
  <c r="K76" i="1"/>
  <c r="R75" i="1"/>
  <c r="O75" i="1"/>
  <c r="P75" i="1" s="1"/>
  <c r="M75" i="1"/>
  <c r="K75" i="1"/>
  <c r="Q74" i="1"/>
  <c r="P74" i="1"/>
  <c r="O74" i="1"/>
  <c r="M74" i="1"/>
  <c r="K74" i="1"/>
  <c r="M73" i="1"/>
  <c r="O73" i="1" s="1"/>
  <c r="P73" i="1" s="1"/>
  <c r="Q73" i="1" s="1"/>
  <c r="K73" i="1"/>
  <c r="R72" i="1"/>
  <c r="O72" i="1"/>
  <c r="P72" i="1" s="1"/>
  <c r="Q72" i="1" s="1"/>
  <c r="M72" i="1"/>
  <c r="K72" i="1"/>
  <c r="Q71" i="1"/>
  <c r="P71" i="1"/>
  <c r="O71" i="1"/>
  <c r="M71" i="1"/>
  <c r="K71" i="1"/>
  <c r="V70" i="1"/>
  <c r="Q70" i="1"/>
  <c r="P70" i="1"/>
  <c r="O70" i="1"/>
  <c r="M70" i="1"/>
  <c r="K70" i="1"/>
  <c r="V69" i="1"/>
  <c r="R69" i="1"/>
  <c r="O69" i="1"/>
  <c r="M69" i="1"/>
  <c r="K69" i="1"/>
  <c r="P69" i="1" s="1"/>
  <c r="Q69" i="1" s="1"/>
  <c r="V68" i="1"/>
  <c r="O68" i="1"/>
  <c r="M68" i="1"/>
  <c r="K68" i="1"/>
  <c r="P68" i="1" s="1"/>
  <c r="Q68" i="1" s="1"/>
  <c r="O67" i="1"/>
  <c r="P67" i="1" s="1"/>
  <c r="M67" i="1"/>
  <c r="K67" i="1"/>
  <c r="R66" i="1"/>
  <c r="O66" i="1"/>
  <c r="M66" i="1"/>
  <c r="K66" i="1"/>
  <c r="P66" i="1" s="1"/>
  <c r="O65" i="1"/>
  <c r="M65" i="1"/>
  <c r="K65" i="1"/>
  <c r="P65" i="1" s="1"/>
  <c r="O64" i="1"/>
  <c r="P64" i="1" s="1"/>
  <c r="Q64" i="1" s="1"/>
  <c r="M64" i="1"/>
  <c r="K64" i="1"/>
  <c r="R63" i="1"/>
  <c r="O63" i="1"/>
  <c r="M63" i="1"/>
  <c r="K63" i="1"/>
  <c r="P63" i="1" s="1"/>
  <c r="Q63" i="1" s="1"/>
  <c r="O62" i="1"/>
  <c r="M62" i="1"/>
  <c r="K62" i="1"/>
  <c r="P62" i="1" s="1"/>
  <c r="Q62" i="1" s="1"/>
  <c r="V61" i="1"/>
  <c r="O61" i="1"/>
  <c r="M61" i="1"/>
  <c r="K61" i="1"/>
  <c r="P61" i="1" s="1"/>
  <c r="Q61" i="1" s="1"/>
  <c r="V60" i="1"/>
  <c r="R60" i="1"/>
  <c r="M60" i="1"/>
  <c r="O60" i="1" s="1"/>
  <c r="P60" i="1" s="1"/>
  <c r="Q60" i="1" s="1"/>
  <c r="K60" i="1"/>
  <c r="V59" i="1"/>
  <c r="M59" i="1"/>
  <c r="O59" i="1" s="1"/>
  <c r="P59" i="1" s="1"/>
  <c r="Q59" i="1" s="1"/>
  <c r="K59" i="1"/>
  <c r="P58" i="1"/>
  <c r="W61" i="1" s="1"/>
  <c r="O58" i="1"/>
  <c r="M58" i="1"/>
  <c r="K58" i="1"/>
  <c r="R57" i="1"/>
  <c r="M57" i="1"/>
  <c r="O57" i="1" s="1"/>
  <c r="P57" i="1" s="1"/>
  <c r="K57" i="1"/>
  <c r="M56" i="1"/>
  <c r="O56" i="1" s="1"/>
  <c r="P56" i="1" s="1"/>
  <c r="K56" i="1"/>
  <c r="P55" i="1"/>
  <c r="Q55" i="1" s="1"/>
  <c r="O55" i="1"/>
  <c r="M55" i="1"/>
  <c r="K55" i="1"/>
  <c r="R54" i="1"/>
  <c r="M54" i="1"/>
  <c r="O54" i="1" s="1"/>
  <c r="P54" i="1" s="1"/>
  <c r="Q54" i="1" s="1"/>
  <c r="K54" i="1"/>
  <c r="M53" i="1"/>
  <c r="O53" i="1" s="1"/>
  <c r="P53" i="1" s="1"/>
  <c r="Q53" i="1" s="1"/>
  <c r="K53" i="1"/>
  <c r="V52" i="1"/>
  <c r="M52" i="1"/>
  <c r="O52" i="1" s="1"/>
  <c r="P52" i="1" s="1"/>
  <c r="K52" i="1"/>
  <c r="V51" i="1"/>
  <c r="R51" i="1"/>
  <c r="M51" i="1"/>
  <c r="O51" i="1" s="1"/>
  <c r="P51" i="1" s="1"/>
  <c r="Q51" i="1" s="1"/>
  <c r="K51" i="1"/>
  <c r="V50" i="1"/>
  <c r="M50" i="1"/>
  <c r="O50" i="1" s="1"/>
  <c r="P50" i="1" s="1"/>
  <c r="Q50" i="1" s="1"/>
  <c r="K50" i="1"/>
  <c r="Q49" i="1"/>
  <c r="P49" i="1"/>
  <c r="O49" i="1"/>
  <c r="M49" i="1"/>
  <c r="K49" i="1"/>
  <c r="R48" i="1"/>
  <c r="O48" i="1"/>
  <c r="P48" i="1" s="1"/>
  <c r="M48" i="1"/>
  <c r="K48" i="1"/>
  <c r="M47" i="1"/>
  <c r="O47" i="1" s="1"/>
  <c r="P47" i="1" s="1"/>
  <c r="K47" i="1"/>
  <c r="Q46" i="1"/>
  <c r="P46" i="1"/>
  <c r="O46" i="1"/>
  <c r="M46" i="1"/>
  <c r="K46" i="1"/>
  <c r="R45" i="1"/>
  <c r="O45" i="1"/>
  <c r="P45" i="1" s="1"/>
  <c r="Q45" i="1" s="1"/>
  <c r="M45" i="1"/>
  <c r="K45" i="1"/>
  <c r="M44" i="1"/>
  <c r="O44" i="1" s="1"/>
  <c r="P44" i="1" s="1"/>
  <c r="Q44" i="1" s="1"/>
  <c r="K44" i="1"/>
  <c r="V43" i="1"/>
  <c r="M43" i="1"/>
  <c r="O43" i="1" s="1"/>
  <c r="P43" i="1" s="1"/>
  <c r="Q43" i="1" s="1"/>
  <c r="K43" i="1"/>
  <c r="V42" i="1"/>
  <c r="R42" i="1"/>
  <c r="O42" i="1"/>
  <c r="P42" i="1" s="1"/>
  <c r="Q42" i="1" s="1"/>
  <c r="M42" i="1"/>
  <c r="K42" i="1"/>
  <c r="V41" i="1"/>
  <c r="O41" i="1"/>
  <c r="P41" i="1" s="1"/>
  <c r="Q41" i="1" s="1"/>
  <c r="M41" i="1"/>
  <c r="K41" i="1"/>
  <c r="O40" i="1"/>
  <c r="M40" i="1"/>
  <c r="K40" i="1"/>
  <c r="P40" i="1" s="1"/>
  <c r="R39" i="1"/>
  <c r="P39" i="1"/>
  <c r="O39" i="1"/>
  <c r="M39" i="1"/>
  <c r="K39" i="1"/>
  <c r="O38" i="1"/>
  <c r="P38" i="1" s="1"/>
  <c r="M38" i="1"/>
  <c r="K38" i="1"/>
  <c r="O37" i="1"/>
  <c r="M37" i="1"/>
  <c r="K37" i="1"/>
  <c r="P37" i="1" s="1"/>
  <c r="Q37" i="1" s="1"/>
  <c r="R36" i="1"/>
  <c r="P36" i="1"/>
  <c r="Q36" i="1" s="1"/>
  <c r="O36" i="1"/>
  <c r="M36" i="1"/>
  <c r="K36" i="1"/>
  <c r="O35" i="1"/>
  <c r="P35" i="1" s="1"/>
  <c r="Q35" i="1" s="1"/>
  <c r="M35" i="1"/>
  <c r="K35" i="1"/>
  <c r="V34" i="1"/>
  <c r="O34" i="1"/>
  <c r="P34" i="1" s="1"/>
  <c r="Q34" i="1" s="1"/>
  <c r="M34" i="1"/>
  <c r="K34" i="1"/>
  <c r="V33" i="1"/>
  <c r="R33" i="1"/>
  <c r="M33" i="1"/>
  <c r="O33" i="1" s="1"/>
  <c r="P33" i="1" s="1"/>
  <c r="Q33" i="1" s="1"/>
  <c r="K33" i="1"/>
  <c r="V32" i="1"/>
  <c r="M32" i="1"/>
  <c r="O32" i="1" s="1"/>
  <c r="P32" i="1" s="1"/>
  <c r="Q32" i="1" s="1"/>
  <c r="K32" i="1"/>
  <c r="M31" i="1"/>
  <c r="O31" i="1" s="1"/>
  <c r="P31" i="1" s="1"/>
  <c r="K31" i="1"/>
  <c r="R30" i="1"/>
  <c r="M30" i="1"/>
  <c r="O30" i="1" s="1"/>
  <c r="P30" i="1" s="1"/>
  <c r="K30" i="1"/>
  <c r="M29" i="1"/>
  <c r="O29" i="1" s="1"/>
  <c r="P29" i="1" s="1"/>
  <c r="K29" i="1"/>
  <c r="M28" i="1"/>
  <c r="O28" i="1" s="1"/>
  <c r="P28" i="1" s="1"/>
  <c r="Q28" i="1" s="1"/>
  <c r="K28" i="1"/>
  <c r="R27" i="1"/>
  <c r="M27" i="1"/>
  <c r="O27" i="1" s="1"/>
  <c r="P27" i="1" s="1"/>
  <c r="Q27" i="1" s="1"/>
  <c r="K27" i="1"/>
  <c r="M26" i="1"/>
  <c r="O26" i="1" s="1"/>
  <c r="P26" i="1" s="1"/>
  <c r="Q26" i="1" s="1"/>
  <c r="K26" i="1"/>
  <c r="V25" i="1"/>
  <c r="M25" i="1"/>
  <c r="O25" i="1" s="1"/>
  <c r="P25" i="1" s="1"/>
  <c r="Q25" i="1" s="1"/>
  <c r="K25" i="1"/>
  <c r="V24" i="1"/>
  <c r="R24" i="1"/>
  <c r="O24" i="1"/>
  <c r="P24" i="1" s="1"/>
  <c r="Q24" i="1" s="1"/>
  <c r="M24" i="1"/>
  <c r="K24" i="1"/>
  <c r="V23" i="1"/>
  <c r="O23" i="1"/>
  <c r="P23" i="1" s="1"/>
  <c r="Q23" i="1" s="1"/>
  <c r="M23" i="1"/>
  <c r="K23" i="1"/>
  <c r="M22" i="1"/>
  <c r="O22" i="1" s="1"/>
  <c r="P22" i="1" s="1"/>
  <c r="K22" i="1"/>
  <c r="R21" i="1"/>
  <c r="O21" i="1"/>
  <c r="P21" i="1" s="1"/>
  <c r="M21" i="1"/>
  <c r="K21" i="1"/>
  <c r="O20" i="1"/>
  <c r="P20" i="1" s="1"/>
  <c r="M20" i="1"/>
  <c r="K20" i="1"/>
  <c r="M19" i="1"/>
  <c r="O19" i="1" s="1"/>
  <c r="P19" i="1" s="1"/>
  <c r="Q19" i="1" s="1"/>
  <c r="K19" i="1"/>
  <c r="R18" i="1"/>
  <c r="O18" i="1"/>
  <c r="P18" i="1" s="1"/>
  <c r="Q18" i="1" s="1"/>
  <c r="M18" i="1"/>
  <c r="K18" i="1"/>
  <c r="O17" i="1"/>
  <c r="P17" i="1" s="1"/>
  <c r="Q17" i="1" s="1"/>
  <c r="M17" i="1"/>
  <c r="K17" i="1"/>
  <c r="V16" i="1"/>
  <c r="O16" i="1"/>
  <c r="P16" i="1" s="1"/>
  <c r="Q16" i="1" s="1"/>
  <c r="M16" i="1"/>
  <c r="K16" i="1"/>
  <c r="V15" i="1"/>
  <c r="R15" i="1"/>
  <c r="P15" i="1"/>
  <c r="Q15" i="1" s="1"/>
  <c r="O15" i="1"/>
  <c r="M15" i="1"/>
  <c r="K15" i="1"/>
  <c r="V14" i="1"/>
  <c r="P14" i="1"/>
  <c r="Q14" i="1" s="1"/>
  <c r="O14" i="1"/>
  <c r="M14" i="1"/>
  <c r="K14" i="1"/>
  <c r="O13" i="1"/>
  <c r="P13" i="1" s="1"/>
  <c r="M13" i="1"/>
  <c r="K13" i="1"/>
  <c r="R12" i="1"/>
  <c r="M12" i="1"/>
  <c r="O12" i="1" s="1"/>
  <c r="P12" i="1" s="1"/>
  <c r="K12" i="1"/>
  <c r="P11" i="1"/>
  <c r="W14" i="1" s="1"/>
  <c r="O11" i="1"/>
  <c r="M11" i="1"/>
  <c r="K11" i="1"/>
  <c r="O10" i="1"/>
  <c r="P10" i="1" s="1"/>
  <c r="Q10" i="1" s="1"/>
  <c r="M10" i="1"/>
  <c r="K10" i="1"/>
  <c r="R9" i="1"/>
  <c r="M9" i="1"/>
  <c r="O9" i="1" s="1"/>
  <c r="P9" i="1" s="1"/>
  <c r="Q9" i="1" s="1"/>
  <c r="K9" i="1"/>
  <c r="P8" i="1"/>
  <c r="Q8" i="1" s="1"/>
  <c r="O8" i="1"/>
  <c r="M8" i="1"/>
  <c r="K8" i="1"/>
  <c r="V7" i="1"/>
  <c r="P7" i="1"/>
  <c r="Q7" i="1" s="1"/>
  <c r="O7" i="1"/>
  <c r="M7" i="1"/>
  <c r="K7" i="1"/>
  <c r="V6" i="1"/>
  <c r="R6" i="1"/>
  <c r="M6" i="1"/>
  <c r="O6" i="1" s="1"/>
  <c r="P6" i="1" s="1"/>
  <c r="Q6" i="1" s="1"/>
  <c r="K6" i="1"/>
  <c r="V5" i="1"/>
  <c r="M5" i="1"/>
  <c r="O5" i="1" s="1"/>
  <c r="P5" i="1" s="1"/>
  <c r="Q5" i="1" s="1"/>
  <c r="K5" i="1"/>
  <c r="M4" i="1"/>
  <c r="O4" i="1" s="1"/>
  <c r="P4" i="1" s="1"/>
  <c r="K4" i="1"/>
  <c r="R3" i="1"/>
  <c r="M3" i="1"/>
  <c r="O3" i="1" s="1"/>
  <c r="P3" i="1" s="1"/>
  <c r="K3" i="1"/>
  <c r="M2" i="1"/>
  <c r="O2" i="1" s="1"/>
  <c r="P2" i="1" s="1"/>
  <c r="K2" i="1"/>
  <c r="W43" i="1" l="1"/>
  <c r="Q40" i="1"/>
  <c r="X43" i="1" s="1"/>
  <c r="Q93" i="1"/>
  <c r="X96" i="1" s="1"/>
  <c r="W96" i="1"/>
  <c r="W25" i="1"/>
  <c r="Q22" i="1"/>
  <c r="X25" i="1" s="1"/>
  <c r="W106" i="1"/>
  <c r="Q103" i="1"/>
  <c r="X106" i="1" s="1"/>
  <c r="W5" i="1"/>
  <c r="Q2" i="1"/>
  <c r="X5" i="1" s="1"/>
  <c r="Q84" i="1"/>
  <c r="X87" i="1" s="1"/>
  <c r="W87" i="1"/>
  <c r="W23" i="1"/>
  <c r="Q20" i="1"/>
  <c r="X23" i="1" s="1"/>
  <c r="W50" i="1"/>
  <c r="Q47" i="1"/>
  <c r="X50" i="1" s="1"/>
  <c r="Q57" i="1"/>
  <c r="X60" i="1" s="1"/>
  <c r="W60" i="1"/>
  <c r="W95" i="1"/>
  <c r="Q92" i="1"/>
  <c r="X95" i="1" s="1"/>
  <c r="Q66" i="1"/>
  <c r="X69" i="1" s="1"/>
  <c r="W69" i="1"/>
  <c r="W88" i="1"/>
  <c r="W70" i="1"/>
  <c r="Q67" i="1"/>
  <c r="X70" i="1" s="1"/>
  <c r="W34" i="1"/>
  <c r="Q31" i="1"/>
  <c r="X34" i="1" s="1"/>
  <c r="Q56" i="1"/>
  <c r="X59" i="1" s="1"/>
  <c r="W59" i="1"/>
  <c r="Q75" i="1"/>
  <c r="X78" i="1" s="1"/>
  <c r="W78" i="1"/>
  <c r="Q12" i="1"/>
  <c r="X15" i="1" s="1"/>
  <c r="W15" i="1"/>
  <c r="W32" i="1"/>
  <c r="Q29" i="1"/>
  <c r="X32" i="1" s="1"/>
  <c r="W79" i="1"/>
  <c r="Q76" i="1"/>
  <c r="X79" i="1" s="1"/>
  <c r="Q52" i="1"/>
  <c r="X52" i="1" s="1"/>
  <c r="W52" i="1"/>
  <c r="X86" i="1"/>
  <c r="W97" i="1"/>
  <c r="Q94" i="1"/>
  <c r="X97" i="1" s="1"/>
  <c r="W41" i="1"/>
  <c r="Q38" i="1"/>
  <c r="X41" i="1" s="1"/>
  <c r="W6" i="1"/>
  <c r="Q3" i="1"/>
  <c r="X6" i="1" s="1"/>
  <c r="Q21" i="1"/>
  <c r="X24" i="1" s="1"/>
  <c r="W24" i="1"/>
  <c r="Q4" i="1"/>
  <c r="X7" i="1" s="1"/>
  <c r="W7" i="1"/>
  <c r="W16" i="1"/>
  <c r="Q13" i="1"/>
  <c r="X16" i="1" s="1"/>
  <c r="W33" i="1"/>
  <c r="Q30" i="1"/>
  <c r="X33" i="1" s="1"/>
  <c r="W42" i="1"/>
  <c r="Q48" i="1"/>
  <c r="X51" i="1" s="1"/>
  <c r="W51" i="1"/>
  <c r="Q65" i="1"/>
  <c r="X68" i="1" s="1"/>
  <c r="W68" i="1"/>
  <c r="W86" i="1"/>
  <c r="Q89" i="1"/>
  <c r="Q102" i="1"/>
  <c r="X105" i="1" s="1"/>
  <c r="Q11" i="1"/>
  <c r="X14" i="1" s="1"/>
  <c r="Q39" i="1"/>
  <c r="X42" i="1" s="1"/>
  <c r="Q58" i="1"/>
  <c r="X61" i="1" s="1"/>
  <c r="Q101" i="1"/>
  <c r="X104" i="1" s="1"/>
  <c r="Q85" i="1"/>
  <c r="X88" i="1" s="1"/>
</calcChain>
</file>

<file path=xl/sharedStrings.xml><?xml version="1.0" encoding="utf-8"?>
<sst xmlns="http://schemas.openxmlformats.org/spreadsheetml/2006/main" count="316" uniqueCount="70">
  <si>
    <r>
      <t>H</t>
    </r>
    <r>
      <rPr>
        <vertAlign val="subscript"/>
        <sz val="11"/>
        <color theme="1"/>
        <rFont val="Aptos Narrow"/>
        <family val="2"/>
        <scheme val="minor"/>
      </rPr>
      <t>2</t>
    </r>
  </si>
  <si>
    <t>CO</t>
  </si>
  <si>
    <r>
      <t>CH</t>
    </r>
    <r>
      <rPr>
        <vertAlign val="subscript"/>
        <sz val="11"/>
        <color theme="1"/>
        <rFont val="Aptos Narrow"/>
        <family val="2"/>
        <scheme val="minor"/>
      </rPr>
      <t>4</t>
    </r>
  </si>
  <si>
    <t>CoPc (R474)</t>
  </si>
  <si>
    <r>
      <t>Ir(ppy)</t>
    </r>
    <r>
      <rPr>
        <vertAlign val="subscript"/>
        <sz val="11"/>
        <color rgb="FF000000"/>
        <rFont val="Calibri"/>
        <family val="2"/>
      </rPr>
      <t>3</t>
    </r>
  </si>
  <si>
    <t>BIH</t>
  </si>
  <si>
    <r>
      <t>DMF/H</t>
    </r>
    <r>
      <rPr>
        <vertAlign val="subscript"/>
        <sz val="11"/>
        <color rgb="FF000000"/>
        <rFont val="Calibri"/>
        <family val="2"/>
      </rPr>
      <t>2</t>
    </r>
    <r>
      <rPr>
        <sz val="11"/>
        <color theme="1"/>
        <rFont val="Aptos Narrow"/>
        <family val="2"/>
        <scheme val="minor"/>
      </rPr>
      <t>O</t>
    </r>
  </si>
  <si>
    <t>10 µM</t>
  </si>
  <si>
    <t>100 µM</t>
  </si>
  <si>
    <t>10 mM</t>
  </si>
  <si>
    <t>4:1</t>
  </si>
  <si>
    <t>aktuell</t>
  </si>
  <si>
    <t>JEW-R483</t>
  </si>
  <si>
    <t>Catalyst</t>
  </si>
  <si>
    <t>PS</t>
  </si>
  <si>
    <t>SD</t>
  </si>
  <si>
    <t>Add</t>
  </si>
  <si>
    <t>Solvent</t>
  </si>
  <si>
    <t>Product</t>
  </si>
  <si>
    <r>
      <t>c</t>
    </r>
    <r>
      <rPr>
        <b/>
        <vertAlign val="subscript"/>
        <sz val="11"/>
        <color theme="0"/>
        <rFont val="Aptos Narrow"/>
        <family val="2"/>
        <scheme val="minor"/>
      </rPr>
      <t>Prod</t>
    </r>
    <r>
      <rPr>
        <b/>
        <sz val="11"/>
        <color theme="0"/>
        <rFont val="Aptos Narrow"/>
        <family val="2"/>
        <scheme val="minor"/>
      </rPr>
      <t xml:space="preserve"> [ppm]</t>
    </r>
  </si>
  <si>
    <r>
      <t>V</t>
    </r>
    <r>
      <rPr>
        <b/>
        <vertAlign val="subscript"/>
        <sz val="11"/>
        <color theme="0"/>
        <rFont val="Aptos Narrow"/>
        <family val="2"/>
        <scheme val="minor"/>
      </rPr>
      <t>Inj</t>
    </r>
    <r>
      <rPr>
        <b/>
        <sz val="11"/>
        <color theme="0"/>
        <rFont val="Aptos Narrow"/>
        <family val="2"/>
        <scheme val="minor"/>
      </rPr>
      <t xml:space="preserve"> [µL]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</si>
  <si>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Irr</t>
    </r>
    <r>
      <rPr>
        <b/>
        <sz val="11"/>
        <color theme="0"/>
        <rFont val="Aptos Narrow"/>
        <family val="2"/>
        <scheme val="minor"/>
      </rPr>
      <t xml:space="preserve"> [h]</t>
    </r>
  </si>
  <si>
    <r>
      <t>c</t>
    </r>
    <r>
      <rPr>
        <b/>
        <vertAlign val="subscript"/>
        <sz val="11"/>
        <color theme="0"/>
        <rFont val="Aptos Narrow"/>
        <family val="2"/>
        <scheme val="minor"/>
      </rPr>
      <t xml:space="preserve">Cat </t>
    </r>
    <r>
      <rPr>
        <b/>
        <sz val="11"/>
        <color theme="0"/>
        <rFont val="Aptos Narrow"/>
        <family val="2"/>
        <scheme val="minor"/>
      </rPr>
      <t>[µM]</t>
    </r>
  </si>
  <si>
    <r>
      <t>n</t>
    </r>
    <r>
      <rPr>
        <b/>
        <vertAlign val="subscript"/>
        <sz val="11"/>
        <color theme="0"/>
        <rFont val="Aptos Narrow"/>
        <family val="2"/>
        <scheme val="minor"/>
      </rPr>
      <t xml:space="preserve">Cat </t>
    </r>
    <r>
      <rPr>
        <b/>
        <sz val="11"/>
        <color theme="0"/>
        <rFont val="Aptos Narrow"/>
        <family val="2"/>
        <scheme val="minor"/>
      </rPr>
      <t>[µM]</t>
    </r>
  </si>
  <si>
    <r>
      <t>V</t>
    </r>
    <r>
      <rPr>
        <b/>
        <vertAlign val="subscript"/>
        <sz val="11"/>
        <color theme="0"/>
        <rFont val="Aptos Narrow"/>
        <family val="2"/>
        <scheme val="minor"/>
      </rPr>
      <t>Exp</t>
    </r>
    <r>
      <rPr>
        <b/>
        <sz val="11"/>
        <color theme="0"/>
        <rFont val="Aptos Narrow"/>
        <family val="2"/>
        <scheme val="minor"/>
      </rPr>
      <t xml:space="preserve"> [mL]</t>
    </r>
  </si>
  <si>
    <r>
      <t>V</t>
    </r>
    <r>
      <rPr>
        <b/>
        <vertAlign val="subscript"/>
        <sz val="11"/>
        <color theme="0"/>
        <rFont val="Aptos Narrow"/>
        <family val="2"/>
        <scheme val="minor"/>
      </rPr>
      <t>Prod</t>
    </r>
    <r>
      <rPr>
        <b/>
        <sz val="11"/>
        <color theme="0"/>
        <rFont val="Aptos Narrow"/>
        <family val="2"/>
        <scheme val="minor"/>
      </rPr>
      <t xml:space="preserve"> [mL]</t>
    </r>
  </si>
  <si>
    <r>
      <t>V</t>
    </r>
    <r>
      <rPr>
        <b/>
        <vertAlign val="subscript"/>
        <sz val="11"/>
        <color theme="0"/>
        <rFont val="Aptos Narrow"/>
        <family val="2"/>
        <scheme val="minor"/>
      </rPr>
      <t>ges</t>
    </r>
    <r>
      <rPr>
        <b/>
        <sz val="11"/>
        <color theme="0"/>
        <rFont val="Aptos Narrow"/>
        <family val="2"/>
        <scheme val="minor"/>
      </rPr>
      <t xml:space="preserve"> [ml]</t>
    </r>
  </si>
  <si>
    <r>
      <t>n</t>
    </r>
    <r>
      <rPr>
        <b/>
        <vertAlign val="subscript"/>
        <sz val="11"/>
        <color theme="0"/>
        <rFont val="Aptos Narrow"/>
        <family val="2"/>
        <scheme val="minor"/>
      </rPr>
      <t>Prod</t>
    </r>
    <r>
      <rPr>
        <b/>
        <sz val="11"/>
        <color theme="0"/>
        <rFont val="Aptos Narrow"/>
        <family val="2"/>
        <scheme val="minor"/>
      </rPr>
      <t xml:space="preserve"> [µmol]</t>
    </r>
  </si>
  <si>
    <t>TON</t>
  </si>
  <si>
    <t>TOF</t>
  </si>
  <si>
    <r>
      <t>Sel</t>
    </r>
    <r>
      <rPr>
        <b/>
        <vertAlign val="superscript"/>
        <sz val="11"/>
        <color theme="0"/>
        <rFont val="Aptos Narrow"/>
        <family val="2"/>
        <scheme val="minor"/>
      </rPr>
      <t xml:space="preserve"> </t>
    </r>
    <r>
      <rPr>
        <b/>
        <sz val="11"/>
        <color theme="0"/>
        <rFont val="Aptos Narrow"/>
        <family val="2"/>
        <scheme val="minor"/>
      </rPr>
      <t>CO/H</t>
    </r>
    <r>
      <rPr>
        <b/>
        <vertAlign val="subscript"/>
        <sz val="11"/>
        <color theme="0"/>
        <rFont val="Aptos Narrow"/>
        <family val="2"/>
        <scheme val="minor"/>
      </rPr>
      <t xml:space="preserve">2 </t>
    </r>
    <r>
      <rPr>
        <b/>
        <sz val="11"/>
        <color theme="0"/>
        <rFont val="Aptos Narrow"/>
        <family val="2"/>
        <scheme val="minor"/>
      </rPr>
      <t>[%]</t>
    </r>
  </si>
  <si>
    <t>ψ</t>
  </si>
  <si>
    <t>Bemerkungen</t>
  </si>
  <si>
    <r>
      <t>∅ c</t>
    </r>
    <r>
      <rPr>
        <b/>
        <vertAlign val="subscript"/>
        <sz val="11"/>
        <color theme="0"/>
        <rFont val="Calibri"/>
        <family val="2"/>
      </rPr>
      <t>Prod</t>
    </r>
    <r>
      <rPr>
        <b/>
        <sz val="11"/>
        <color theme="0"/>
        <rFont val="Calibri"/>
        <family val="2"/>
      </rPr>
      <t xml:space="preserve"> [ppm]</t>
    </r>
  </si>
  <si>
    <t>∅ TON</t>
  </si>
  <si>
    <t>∅ TOF</t>
  </si>
  <si>
    <t>DMF</t>
  </si>
  <si>
    <t>JEW-R482</t>
  </si>
  <si>
    <t>4DPAIPN</t>
  </si>
  <si>
    <t>JEW-R484</t>
  </si>
  <si>
    <t>JEW-R485</t>
  </si>
  <si>
    <t>3DPAClIPN</t>
  </si>
  <si>
    <t>JEW-R486</t>
  </si>
  <si>
    <t>JEW-R487</t>
  </si>
  <si>
    <t>4CzIPN</t>
  </si>
  <si>
    <t>JEW-R488</t>
  </si>
  <si>
    <t>JEW-R489</t>
  </si>
  <si>
    <t>Eosin Y</t>
  </si>
  <si>
    <t>JEW-R490</t>
  </si>
  <si>
    <t>JEW-R491</t>
  </si>
  <si>
    <t>TEA</t>
  </si>
  <si>
    <t>100 mM</t>
  </si>
  <si>
    <t>JEW-R492</t>
  </si>
  <si>
    <t>TFE</t>
  </si>
  <si>
    <t>JEW-R493</t>
  </si>
  <si>
    <r>
      <rPr>
        <b/>
        <u/>
        <sz val="14"/>
        <color theme="4"/>
        <rFont val="Calibri"/>
        <family val="2"/>
      </rPr>
      <t>CoPc (10 µM)</t>
    </r>
    <r>
      <rPr>
        <b/>
        <u/>
        <sz val="14"/>
        <color rgb="FF000000"/>
        <rFont val="Calibri"/>
        <family val="2"/>
      </rPr>
      <t xml:space="preserve"> + </t>
    </r>
    <r>
      <rPr>
        <b/>
        <u/>
        <sz val="14"/>
        <color rgb="FFFF0000"/>
        <rFont val="Calibri"/>
        <family val="2"/>
      </rPr>
      <t>PS (100 µM)</t>
    </r>
    <r>
      <rPr>
        <b/>
        <u/>
        <sz val="14"/>
        <color rgb="FF000000"/>
        <rFont val="Calibri"/>
        <family val="2"/>
      </rPr>
      <t xml:space="preserve"> + BIH (10 mM) [4 h]</t>
    </r>
  </si>
  <si>
    <t>JEW-R</t>
  </si>
  <si>
    <t>Additive</t>
  </si>
  <si>
    <t>TON CO</t>
  </si>
  <si>
    <r>
      <t>TON CH</t>
    </r>
    <r>
      <rPr>
        <b/>
        <vertAlign val="subscript"/>
        <sz val="11"/>
        <color rgb="FF000000"/>
        <rFont val="Calibri"/>
        <family val="2"/>
      </rPr>
      <t>4</t>
    </r>
  </si>
  <si>
    <r>
      <t>TON H</t>
    </r>
    <r>
      <rPr>
        <b/>
        <vertAlign val="subscript"/>
        <sz val="11"/>
        <color rgb="FF000000"/>
        <rFont val="Calibri"/>
        <family val="2"/>
      </rPr>
      <t>2</t>
    </r>
  </si>
  <si>
    <t>TOF CO</t>
  </si>
  <si>
    <r>
      <t>TOF CH</t>
    </r>
    <r>
      <rPr>
        <b/>
        <vertAlign val="subscript"/>
        <sz val="11"/>
        <color rgb="FF000000"/>
        <rFont val="Calibri"/>
        <family val="2"/>
      </rPr>
      <t>4</t>
    </r>
  </si>
  <si>
    <r>
      <t>TOF H</t>
    </r>
    <r>
      <rPr>
        <b/>
        <vertAlign val="subscript"/>
        <sz val="11"/>
        <color rgb="FF000000"/>
        <rFont val="Calibri"/>
        <family val="2"/>
      </rPr>
      <t>2</t>
    </r>
  </si>
  <si>
    <t>ppm CO</t>
  </si>
  <si>
    <r>
      <rPr>
        <b/>
        <i/>
        <sz val="11"/>
        <color rgb="FF000000"/>
        <rFont val="Calibri"/>
        <family val="2"/>
      </rPr>
      <t>ppm CH</t>
    </r>
    <r>
      <rPr>
        <b/>
        <i/>
        <vertAlign val="subscript"/>
        <sz val="11"/>
        <color rgb="FF000000"/>
        <rFont val="Calibri"/>
        <family val="2"/>
      </rPr>
      <t>4</t>
    </r>
  </si>
  <si>
    <r>
      <t>ppm H</t>
    </r>
    <r>
      <rPr>
        <b/>
        <i/>
        <vertAlign val="subscript"/>
        <sz val="11"/>
        <color rgb="FF000000"/>
        <rFont val="Calibri"/>
        <family val="2"/>
      </rPr>
      <t>2</t>
    </r>
  </si>
  <si>
    <r>
      <t>DMF/H</t>
    </r>
    <r>
      <rPr>
        <vertAlign val="subscript"/>
        <sz val="11"/>
        <color rgb="FF000000"/>
        <rFont val="Calibri"/>
        <family val="2"/>
      </rPr>
      <t>2</t>
    </r>
    <r>
      <rPr>
        <sz val="11"/>
        <color theme="1"/>
        <rFont val="Aptos Narrow"/>
        <family val="2"/>
        <scheme val="minor"/>
      </rPr>
      <t>O 4:1</t>
    </r>
  </si>
  <si>
    <t>TEA (100 mM)</t>
  </si>
  <si>
    <t>TFE (100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</si>
</sst>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vertAlign val="sub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theme="0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</font>
    <font>
      <b/>
      <u/>
      <sz val="14"/>
      <color rgb="FF000000"/>
      <name val="Calibri"/>
      <family val="2"/>
    </font>
    <font>
      <b/>
      <u/>
      <sz val="14"/>
      <color theme="4"/>
      <name val="Calibri"/>
      <family val="2"/>
    </font>
    <font>
      <b/>
      <u/>
      <sz val="14"/>
      <color rgb="FFFF0000"/>
      <name val="Calibri"/>
      <family val="2"/>
    </font>
    <font>
      <b/>
      <vertAlign val="subscript"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vertAlign val="subscript"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0" xfId="0" applyFill="1"/>
    <xf numFmtId="1" fontId="0" fillId="2" borderId="4" xfId="0" applyNumberFormat="1" applyFill="1" applyBorder="1" applyAlignment="1">
      <alignment horizontal="center" vertical="center"/>
    </xf>
    <xf numFmtId="0" fontId="4" fillId="2" borderId="5" xfId="0" applyFont="1" applyFill="1" applyBorder="1"/>
    <xf numFmtId="164" fontId="0" fillId="0" borderId="0" xfId="0" applyNumberFormat="1" applyAlignment="1">
      <alignment horizontal="right"/>
    </xf>
    <xf numFmtId="1" fontId="0" fillId="2" borderId="5" xfId="0" applyNumberFormat="1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3" borderId="0" xfId="0" applyFill="1"/>
    <xf numFmtId="1" fontId="0" fillId="3" borderId="4" xfId="0" applyNumberForma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right"/>
    </xf>
    <xf numFmtId="1" fontId="6" fillId="3" borderId="0" xfId="0" applyNumberFormat="1" applyFont="1" applyFill="1"/>
    <xf numFmtId="49" fontId="0" fillId="3" borderId="1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6" fillId="0" borderId="0" xfId="0" applyFont="1"/>
    <xf numFmtId="49" fontId="0" fillId="2" borderId="1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" borderId="11" xfId="0" applyFill="1" applyBorder="1"/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" fontId="1" fillId="4" borderId="16" xfId="0" applyNumberFormat="1" applyFont="1" applyFill="1" applyBorder="1" applyAlignment="1">
      <alignment horizontal="center" vertical="center"/>
    </xf>
    <xf numFmtId="1" fontId="1" fillId="4" borderId="17" xfId="0" applyNumberFormat="1" applyFont="1" applyFill="1" applyBorder="1" applyAlignment="1">
      <alignment horizontal="center" vertical="center"/>
    </xf>
    <xf numFmtId="1" fontId="9" fillId="4" borderId="18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" fontId="9" fillId="4" borderId="19" xfId="0" applyNumberFormat="1" applyFont="1" applyFill="1" applyBorder="1" applyAlignment="1">
      <alignment horizontal="center" vertical="center"/>
    </xf>
    <xf numFmtId="164" fontId="9" fillId="4" borderId="19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" fontId="17" fillId="0" borderId="24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17" fillId="0" borderId="7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9F5F-112B-4C25-9344-6B7951623C12}">
  <dimension ref="A1:Z109"/>
  <sheetViews>
    <sheetView workbookViewId="0">
      <selection activeCell="J12" sqref="J12"/>
    </sheetView>
  </sheetViews>
  <sheetFormatPr baseColWidth="10" defaultRowHeight="15" x14ac:dyDescent="0.25"/>
  <sheetData>
    <row r="1" spans="1:26" ht="18.75" thickBot="1" x14ac:dyDescent="0.3">
      <c r="A1" s="48" t="s">
        <v>13</v>
      </c>
      <c r="B1" s="48" t="s">
        <v>14</v>
      </c>
      <c r="C1" s="48" t="s">
        <v>15</v>
      </c>
      <c r="D1" s="48" t="s">
        <v>16</v>
      </c>
      <c r="E1" s="49" t="s">
        <v>17</v>
      </c>
      <c r="F1" s="50" t="s">
        <v>18</v>
      </c>
      <c r="G1" s="48" t="s">
        <v>19</v>
      </c>
      <c r="H1" s="48" t="s">
        <v>20</v>
      </c>
      <c r="I1" s="48" t="s">
        <v>21</v>
      </c>
      <c r="J1" s="48" t="s">
        <v>22</v>
      </c>
      <c r="K1" s="48" t="s">
        <v>23</v>
      </c>
      <c r="L1" s="48" t="s">
        <v>24</v>
      </c>
      <c r="M1" s="51" t="s">
        <v>25</v>
      </c>
      <c r="N1" s="51" t="s">
        <v>26</v>
      </c>
      <c r="O1" s="51" t="s">
        <v>27</v>
      </c>
      <c r="P1" s="52" t="s">
        <v>28</v>
      </c>
      <c r="Q1" s="52" t="s">
        <v>29</v>
      </c>
      <c r="R1" s="53" t="s">
        <v>30</v>
      </c>
      <c r="S1" s="54" t="s">
        <v>31</v>
      </c>
      <c r="T1" s="55" t="s">
        <v>32</v>
      </c>
      <c r="U1" s="56" t="s">
        <v>18</v>
      </c>
      <c r="V1" s="57" t="s">
        <v>33</v>
      </c>
      <c r="W1" s="56" t="s">
        <v>34</v>
      </c>
      <c r="X1" s="56" t="s">
        <v>35</v>
      </c>
    </row>
    <row r="2" spans="1:26" ht="18.75" thickTop="1" x14ac:dyDescent="0.25">
      <c r="A2" s="1"/>
      <c r="B2" s="1"/>
      <c r="C2" s="1"/>
      <c r="D2" s="1"/>
      <c r="E2" s="2"/>
      <c r="F2" s="3" t="s">
        <v>0</v>
      </c>
      <c r="G2" s="4">
        <v>378.47</v>
      </c>
      <c r="H2" s="1">
        <v>50</v>
      </c>
      <c r="I2" s="1">
        <v>4</v>
      </c>
      <c r="J2" s="1">
        <v>10</v>
      </c>
      <c r="K2" s="1">
        <f t="shared" ref="K2:K65" si="0">(J2*(L2*0.001))</f>
        <v>0.05</v>
      </c>
      <c r="L2" s="1">
        <v>5</v>
      </c>
      <c r="M2" s="5">
        <f>G2*N2/1000000</f>
        <v>8.2884930000000009E-3</v>
      </c>
      <c r="N2" s="6">
        <v>21.9</v>
      </c>
      <c r="O2" s="5">
        <f t="shared" ref="O2:O65" si="1">(101325*(M2*0.000001))/(8.31*294)*1000000</f>
        <v>0.34375089156781841</v>
      </c>
      <c r="P2" s="7">
        <f t="shared" ref="P2:P65" si="2">O2/K2</f>
        <v>6.8750178313563675</v>
      </c>
      <c r="Q2" s="8">
        <f t="shared" ref="Q2:Q65" si="3">P2/I2</f>
        <v>1.7187544578390919</v>
      </c>
      <c r="R2" s="9"/>
      <c r="S2" s="10"/>
      <c r="T2" s="11"/>
      <c r="V2" s="12"/>
    </row>
    <row r="3" spans="1:26" x14ac:dyDescent="0.25">
      <c r="A3" s="1"/>
      <c r="B3" s="1"/>
      <c r="C3" s="1"/>
      <c r="D3" s="1"/>
      <c r="E3" s="2"/>
      <c r="F3" s="3" t="s">
        <v>1</v>
      </c>
      <c r="G3" s="4">
        <v>422.68200000000002</v>
      </c>
      <c r="H3" s="1">
        <v>50</v>
      </c>
      <c r="I3" s="1">
        <v>4</v>
      </c>
      <c r="J3" s="1">
        <v>10</v>
      </c>
      <c r="K3" s="1">
        <f t="shared" si="0"/>
        <v>0.05</v>
      </c>
      <c r="L3" s="1">
        <v>5</v>
      </c>
      <c r="M3" s="5">
        <f t="shared" ref="M3:M10" si="4">G3*N3/1000000</f>
        <v>9.2567358000000006E-3</v>
      </c>
      <c r="N3" s="6">
        <v>21.9</v>
      </c>
      <c r="O3" s="5">
        <f t="shared" si="1"/>
        <v>0.38390708470861262</v>
      </c>
      <c r="P3" s="7">
        <f t="shared" si="2"/>
        <v>7.6781416941722522</v>
      </c>
      <c r="Q3" s="8">
        <f t="shared" si="3"/>
        <v>1.9195354235430631</v>
      </c>
      <c r="R3" s="13">
        <f>G3/(G2+G3)*100</f>
        <v>52.759276641636042</v>
      </c>
      <c r="S3" s="10"/>
      <c r="T3" s="14"/>
      <c r="V3" s="12"/>
    </row>
    <row r="4" spans="1:26" ht="18" x14ac:dyDescent="0.25">
      <c r="A4" s="15"/>
      <c r="B4" s="1"/>
      <c r="C4" s="1"/>
      <c r="D4" s="1"/>
      <c r="E4" s="2"/>
      <c r="F4" s="3" t="s">
        <v>2</v>
      </c>
      <c r="G4" s="4">
        <v>0</v>
      </c>
      <c r="H4" s="1">
        <v>50</v>
      </c>
      <c r="I4" s="1">
        <v>4</v>
      </c>
      <c r="J4" s="1">
        <v>10</v>
      </c>
      <c r="K4" s="1">
        <f t="shared" si="0"/>
        <v>0.05</v>
      </c>
      <c r="L4" s="1">
        <v>5</v>
      </c>
      <c r="M4" s="5">
        <f t="shared" si="4"/>
        <v>0</v>
      </c>
      <c r="N4" s="6">
        <v>21.9</v>
      </c>
      <c r="O4" s="5">
        <f t="shared" si="1"/>
        <v>0</v>
      </c>
      <c r="P4" s="7">
        <f t="shared" si="2"/>
        <v>0</v>
      </c>
      <c r="Q4" s="8">
        <f t="shared" si="3"/>
        <v>0</v>
      </c>
      <c r="R4" s="13"/>
      <c r="S4" s="10"/>
      <c r="T4" s="14"/>
      <c r="V4" s="12"/>
    </row>
    <row r="5" spans="1:26" ht="18" x14ac:dyDescent="0.25">
      <c r="A5" s="16" t="s">
        <v>3</v>
      </c>
      <c r="B5" s="16" t="s">
        <v>4</v>
      </c>
      <c r="C5" s="16" t="s">
        <v>5</v>
      </c>
      <c r="D5" s="16"/>
      <c r="E5" s="17" t="s">
        <v>36</v>
      </c>
      <c r="F5" s="18" t="s">
        <v>0</v>
      </c>
      <c r="G5" s="19">
        <v>306.70499999999998</v>
      </c>
      <c r="H5" s="16">
        <v>50</v>
      </c>
      <c r="I5" s="16">
        <v>4</v>
      </c>
      <c r="J5" s="16">
        <v>10</v>
      </c>
      <c r="K5" s="16">
        <f t="shared" si="0"/>
        <v>0.05</v>
      </c>
      <c r="L5" s="16">
        <v>5</v>
      </c>
      <c r="M5" s="20">
        <f t="shared" si="4"/>
        <v>6.7168394999999994E-3</v>
      </c>
      <c r="N5" s="21">
        <v>21.9</v>
      </c>
      <c r="O5" s="20">
        <f t="shared" si="1"/>
        <v>0.27856928474729231</v>
      </c>
      <c r="P5" s="22">
        <f t="shared" si="2"/>
        <v>5.571385694945846</v>
      </c>
      <c r="Q5" s="23">
        <f t="shared" si="3"/>
        <v>1.3928464237364615</v>
      </c>
      <c r="R5" s="24"/>
      <c r="S5" s="25"/>
      <c r="T5" s="26"/>
      <c r="U5" s="27" t="s">
        <v>0</v>
      </c>
      <c r="V5" s="28">
        <f>AVERAGE(G2,G5,G8)</f>
        <v>265.33633333333336</v>
      </c>
      <c r="W5" s="29">
        <f>AVERAGE(P2,P5,P8)</f>
        <v>4.819911810641222</v>
      </c>
      <c r="X5" s="29">
        <f>AVERAGE(Q2,Q5,Q8)</f>
        <v>1.2049779526603055</v>
      </c>
    </row>
    <row r="6" spans="1:26" x14ac:dyDescent="0.25">
      <c r="A6" s="16" t="s">
        <v>7</v>
      </c>
      <c r="B6" s="16" t="s">
        <v>8</v>
      </c>
      <c r="C6" s="16" t="s">
        <v>9</v>
      </c>
      <c r="D6" s="16"/>
      <c r="E6" s="30"/>
      <c r="F6" s="18" t="s">
        <v>1</v>
      </c>
      <c r="G6" s="19">
        <v>528.13</v>
      </c>
      <c r="H6" s="16">
        <v>50</v>
      </c>
      <c r="I6" s="16">
        <v>4</v>
      </c>
      <c r="J6" s="16">
        <v>10</v>
      </c>
      <c r="K6" s="16">
        <f t="shared" si="0"/>
        <v>0.05</v>
      </c>
      <c r="L6" s="16">
        <v>5</v>
      </c>
      <c r="M6" s="20">
        <f t="shared" si="4"/>
        <v>1.1566046999999999E-2</v>
      </c>
      <c r="N6" s="21">
        <v>21.9</v>
      </c>
      <c r="O6" s="20">
        <f t="shared" si="1"/>
        <v>0.47968176701908194</v>
      </c>
      <c r="P6" s="22">
        <f t="shared" si="2"/>
        <v>9.5936353403816383</v>
      </c>
      <c r="Q6" s="23">
        <f t="shared" si="3"/>
        <v>2.3984088350954096</v>
      </c>
      <c r="R6" s="31">
        <f>G6/(G5+G6)*100</f>
        <v>63.261602592128988</v>
      </c>
      <c r="S6" s="25"/>
      <c r="T6" s="26"/>
      <c r="U6" s="27" t="s">
        <v>1</v>
      </c>
      <c r="V6" s="28">
        <f t="shared" ref="V6:V7" si="5">AVERAGE(G3,G6,G9)</f>
        <v>426.02366666666666</v>
      </c>
      <c r="W6" s="29">
        <f t="shared" ref="W6:X7" si="6">AVERAGE(P3,P6,P9)</f>
        <v>7.7388440428915244</v>
      </c>
      <c r="X6" s="29">
        <f t="shared" si="6"/>
        <v>1.9347110107228811</v>
      </c>
    </row>
    <row r="7" spans="1:26" ht="18" x14ac:dyDescent="0.25">
      <c r="A7" s="32" t="s">
        <v>37</v>
      </c>
      <c r="B7" s="16"/>
      <c r="C7" s="16"/>
      <c r="D7" s="16"/>
      <c r="E7" s="17"/>
      <c r="F7" s="18" t="s">
        <v>2</v>
      </c>
      <c r="G7" s="19">
        <v>0</v>
      </c>
      <c r="H7" s="16">
        <v>50</v>
      </c>
      <c r="I7" s="16">
        <v>4</v>
      </c>
      <c r="J7" s="16">
        <v>10</v>
      </c>
      <c r="K7" s="16">
        <f t="shared" si="0"/>
        <v>0.05</v>
      </c>
      <c r="L7" s="16">
        <v>5</v>
      </c>
      <c r="M7" s="20">
        <f t="shared" si="4"/>
        <v>0</v>
      </c>
      <c r="N7" s="21">
        <v>21.9</v>
      </c>
      <c r="O7" s="20">
        <f t="shared" si="1"/>
        <v>0</v>
      </c>
      <c r="P7" s="22">
        <f t="shared" si="2"/>
        <v>0</v>
      </c>
      <c r="Q7" s="23">
        <f t="shared" si="3"/>
        <v>0</v>
      </c>
      <c r="R7" s="31"/>
      <c r="S7" s="25"/>
      <c r="T7" s="26"/>
      <c r="U7" s="27" t="s">
        <v>2</v>
      </c>
      <c r="V7" s="28">
        <f t="shared" si="5"/>
        <v>0</v>
      </c>
      <c r="W7" s="29">
        <f t="shared" si="6"/>
        <v>0</v>
      </c>
      <c r="X7" s="29">
        <f t="shared" si="6"/>
        <v>0</v>
      </c>
    </row>
    <row r="8" spans="1:26" ht="18" x14ac:dyDescent="0.25">
      <c r="A8" s="1"/>
      <c r="B8" s="1"/>
      <c r="C8" s="1"/>
      <c r="D8" s="1"/>
      <c r="E8" s="2"/>
      <c r="F8" s="3" t="s">
        <v>0</v>
      </c>
      <c r="G8" s="33">
        <v>110.834</v>
      </c>
      <c r="H8" s="1">
        <v>50</v>
      </c>
      <c r="I8" s="1">
        <v>4</v>
      </c>
      <c r="J8" s="1">
        <v>10</v>
      </c>
      <c r="K8" s="1">
        <f t="shared" si="0"/>
        <v>0.05</v>
      </c>
      <c r="L8" s="1">
        <v>5</v>
      </c>
      <c r="M8" s="5">
        <f t="shared" si="4"/>
        <v>2.4272645999999999E-3</v>
      </c>
      <c r="N8" s="6">
        <v>21.9</v>
      </c>
      <c r="O8" s="5">
        <f t="shared" si="1"/>
        <v>0.1006665952810727</v>
      </c>
      <c r="P8" s="7">
        <f t="shared" si="2"/>
        <v>2.0133319056214538</v>
      </c>
      <c r="Q8" s="8">
        <f t="shared" si="3"/>
        <v>0.50333297640536345</v>
      </c>
      <c r="R8" s="9"/>
      <c r="S8" s="10"/>
      <c r="T8" s="14"/>
      <c r="V8" s="12"/>
      <c r="W8" s="34"/>
    </row>
    <row r="9" spans="1:26" x14ac:dyDescent="0.25">
      <c r="A9" s="1"/>
      <c r="B9" s="1"/>
      <c r="C9" s="1"/>
      <c r="D9" s="1"/>
      <c r="E9" s="35"/>
      <c r="F9" s="3" t="s">
        <v>1</v>
      </c>
      <c r="G9" s="33">
        <v>327.25900000000001</v>
      </c>
      <c r="H9" s="1">
        <v>50</v>
      </c>
      <c r="I9" s="1">
        <v>4</v>
      </c>
      <c r="J9" s="1">
        <v>10</v>
      </c>
      <c r="K9" s="1">
        <f t="shared" si="0"/>
        <v>0.05</v>
      </c>
      <c r="L9" s="1">
        <v>5</v>
      </c>
      <c r="M9" s="5">
        <f t="shared" si="4"/>
        <v>7.1669721000000002E-3</v>
      </c>
      <c r="N9" s="6">
        <v>21.9</v>
      </c>
      <c r="O9" s="5">
        <f t="shared" si="1"/>
        <v>0.29723775470603397</v>
      </c>
      <c r="P9" s="7">
        <f t="shared" si="2"/>
        <v>5.944755094120679</v>
      </c>
      <c r="Q9" s="8">
        <f t="shared" si="3"/>
        <v>1.4861887735301698</v>
      </c>
      <c r="R9" s="13">
        <f>G9/(G8+G9)*100</f>
        <v>74.700805536723934</v>
      </c>
      <c r="S9" s="10"/>
      <c r="T9" s="14"/>
      <c r="V9" s="12"/>
      <c r="W9" s="34"/>
    </row>
    <row r="10" spans="1:26" ht="18" x14ac:dyDescent="0.25">
      <c r="A10" s="36"/>
      <c r="B10" s="37"/>
      <c r="C10" s="37"/>
      <c r="D10" s="37"/>
      <c r="E10" s="38"/>
      <c r="F10" s="39" t="s">
        <v>2</v>
      </c>
      <c r="G10" s="40">
        <v>0</v>
      </c>
      <c r="H10" s="37">
        <v>50</v>
      </c>
      <c r="I10" s="37">
        <v>4</v>
      </c>
      <c r="J10" s="37">
        <v>10</v>
      </c>
      <c r="K10" s="37">
        <f t="shared" si="0"/>
        <v>0.05</v>
      </c>
      <c r="L10" s="37">
        <v>5</v>
      </c>
      <c r="M10" s="41">
        <f t="shared" si="4"/>
        <v>0</v>
      </c>
      <c r="N10" s="42">
        <v>21.9</v>
      </c>
      <c r="O10" s="41">
        <f t="shared" si="1"/>
        <v>0</v>
      </c>
      <c r="P10" s="43">
        <f t="shared" si="2"/>
        <v>0</v>
      </c>
      <c r="Q10" s="44">
        <f t="shared" si="3"/>
        <v>0</v>
      </c>
      <c r="R10" s="45"/>
      <c r="S10" s="46"/>
      <c r="T10" s="47"/>
      <c r="V10" s="12"/>
      <c r="W10" s="34"/>
    </row>
    <row r="11" spans="1:26" ht="18" x14ac:dyDescent="0.25">
      <c r="A11" s="1"/>
      <c r="B11" s="1"/>
      <c r="C11" s="1"/>
      <c r="D11" s="1"/>
      <c r="E11" s="2"/>
      <c r="F11" s="3" t="s">
        <v>0</v>
      </c>
      <c r="G11" s="4">
        <v>23175.087</v>
      </c>
      <c r="H11" s="1">
        <v>50</v>
      </c>
      <c r="I11" s="1">
        <v>4</v>
      </c>
      <c r="J11" s="1">
        <v>10</v>
      </c>
      <c r="K11" s="1">
        <f t="shared" si="0"/>
        <v>0.05</v>
      </c>
      <c r="L11" s="1">
        <v>5</v>
      </c>
      <c r="M11" s="5">
        <f>G11*N11/1000000</f>
        <v>0.50753440529999994</v>
      </c>
      <c r="N11" s="6">
        <v>21.9</v>
      </c>
      <c r="O11" s="5">
        <f t="shared" si="1"/>
        <v>21.049110414066522</v>
      </c>
      <c r="P11" s="7">
        <f t="shared" si="2"/>
        <v>420.98220828133043</v>
      </c>
      <c r="Q11" s="8">
        <f t="shared" si="3"/>
        <v>105.24555207033261</v>
      </c>
      <c r="R11" s="9"/>
      <c r="S11" s="10"/>
      <c r="T11" s="11"/>
      <c r="V11" s="12"/>
    </row>
    <row r="12" spans="1:26" x14ac:dyDescent="0.25">
      <c r="A12" s="1"/>
      <c r="B12" s="1"/>
      <c r="C12" s="1"/>
      <c r="D12" s="1"/>
      <c r="E12" s="2"/>
      <c r="F12" s="3" t="s">
        <v>1</v>
      </c>
      <c r="G12" s="4">
        <v>775.61800000000005</v>
      </c>
      <c r="H12" s="1">
        <v>50</v>
      </c>
      <c r="I12" s="1">
        <v>4</v>
      </c>
      <c r="J12" s="1">
        <v>10</v>
      </c>
      <c r="K12" s="1">
        <f t="shared" si="0"/>
        <v>0.05</v>
      </c>
      <c r="L12" s="1">
        <v>5</v>
      </c>
      <c r="M12" s="5">
        <f t="shared" ref="M12:M19" si="7">G12*N12/1000000</f>
        <v>1.69860342E-2</v>
      </c>
      <c r="N12" s="6">
        <v>21.9</v>
      </c>
      <c r="O12" s="5">
        <f t="shared" si="1"/>
        <v>0.70446634876224845</v>
      </c>
      <c r="P12" s="7">
        <f t="shared" si="2"/>
        <v>14.089326975244969</v>
      </c>
      <c r="Q12" s="8">
        <f t="shared" si="3"/>
        <v>3.5223317438112423</v>
      </c>
      <c r="R12" s="13">
        <f>G12/(G11+G12)*100</f>
        <v>3.2383931913486479</v>
      </c>
      <c r="S12" s="10"/>
      <c r="T12" s="14"/>
      <c r="V12" s="12"/>
    </row>
    <row r="13" spans="1:26" ht="18" x14ac:dyDescent="0.25">
      <c r="A13" s="15"/>
      <c r="B13" s="1"/>
      <c r="C13" s="1"/>
      <c r="D13" s="1"/>
      <c r="E13" s="2"/>
      <c r="F13" s="3" t="s">
        <v>2</v>
      </c>
      <c r="G13" s="4">
        <v>118.404</v>
      </c>
      <c r="H13" s="1">
        <v>50</v>
      </c>
      <c r="I13" s="1">
        <v>4</v>
      </c>
      <c r="J13" s="1">
        <v>10</v>
      </c>
      <c r="K13" s="1">
        <f t="shared" si="0"/>
        <v>0.05</v>
      </c>
      <c r="L13" s="1">
        <v>5</v>
      </c>
      <c r="M13" s="5">
        <f t="shared" si="7"/>
        <v>2.5930476E-3</v>
      </c>
      <c r="N13" s="6">
        <v>21.9</v>
      </c>
      <c r="O13" s="5">
        <f t="shared" si="1"/>
        <v>0.10754215807117069</v>
      </c>
      <c r="P13" s="7">
        <f t="shared" si="2"/>
        <v>2.1508431614234138</v>
      </c>
      <c r="Q13" s="8">
        <f t="shared" si="3"/>
        <v>0.53771079035585345</v>
      </c>
      <c r="R13" s="13"/>
      <c r="S13" s="10"/>
      <c r="T13" s="14"/>
      <c r="V13" s="12"/>
    </row>
    <row r="14" spans="1:26" ht="18" x14ac:dyDescent="0.25">
      <c r="A14" s="16" t="s">
        <v>3</v>
      </c>
      <c r="B14" s="16" t="s">
        <v>4</v>
      </c>
      <c r="C14" s="16" t="s">
        <v>5</v>
      </c>
      <c r="D14" s="16"/>
      <c r="E14" s="17" t="s">
        <v>6</v>
      </c>
      <c r="F14" s="18" t="s">
        <v>0</v>
      </c>
      <c r="G14" s="19">
        <v>24900.44</v>
      </c>
      <c r="H14" s="16">
        <v>50</v>
      </c>
      <c r="I14" s="16">
        <v>4</v>
      </c>
      <c r="J14" s="16">
        <v>10</v>
      </c>
      <c r="K14" s="16">
        <f t="shared" si="0"/>
        <v>0.05</v>
      </c>
      <c r="L14" s="16">
        <v>5</v>
      </c>
      <c r="M14" s="20">
        <f t="shared" si="7"/>
        <v>0.54531963599999989</v>
      </c>
      <c r="N14" s="21">
        <v>21.9</v>
      </c>
      <c r="O14" s="20">
        <f t="shared" si="1"/>
        <v>22.616187413615258</v>
      </c>
      <c r="P14" s="22">
        <f t="shared" si="2"/>
        <v>452.32374827230512</v>
      </c>
      <c r="Q14" s="23">
        <f t="shared" si="3"/>
        <v>113.08093706807628</v>
      </c>
      <c r="R14" s="24"/>
      <c r="S14" s="25"/>
      <c r="T14" s="26"/>
      <c r="U14" s="27" t="s">
        <v>0</v>
      </c>
      <c r="V14" s="28">
        <f>AVERAGE(G11,G14,G17)</f>
        <v>24486.418333333335</v>
      </c>
      <c r="W14" s="29">
        <f>AVERAGE(P11,P14,P17)</f>
        <v>444.80292405664414</v>
      </c>
      <c r="X14" s="29">
        <f>AVERAGE(Q11,Q14,Q17)</f>
        <v>111.20073101416104</v>
      </c>
    </row>
    <row r="15" spans="1:26" x14ac:dyDescent="0.25">
      <c r="A15" s="16" t="s">
        <v>7</v>
      </c>
      <c r="B15" s="16" t="s">
        <v>8</v>
      </c>
      <c r="C15" s="16" t="s">
        <v>9</v>
      </c>
      <c r="D15" s="16"/>
      <c r="E15" s="30" t="s">
        <v>10</v>
      </c>
      <c r="F15" s="18" t="s">
        <v>1</v>
      </c>
      <c r="G15" s="19">
        <v>1002.002</v>
      </c>
      <c r="H15" s="16">
        <v>50</v>
      </c>
      <c r="I15" s="16">
        <v>4</v>
      </c>
      <c r="J15" s="16">
        <v>10</v>
      </c>
      <c r="K15" s="16">
        <f t="shared" si="0"/>
        <v>0.05</v>
      </c>
      <c r="L15" s="16">
        <v>5</v>
      </c>
      <c r="M15" s="20">
        <f t="shared" si="7"/>
        <v>2.1943843799999998E-2</v>
      </c>
      <c r="N15" s="21">
        <v>21.9</v>
      </c>
      <c r="O15" s="20">
        <f t="shared" si="1"/>
        <v>0.91008291503352223</v>
      </c>
      <c r="P15" s="22">
        <f t="shared" si="2"/>
        <v>18.201658300670445</v>
      </c>
      <c r="Q15" s="23">
        <f t="shared" si="3"/>
        <v>4.5504145751676113</v>
      </c>
      <c r="R15" s="31">
        <f>G15/(G14+G15)*100</f>
        <v>3.8683688588126168</v>
      </c>
      <c r="S15" s="25"/>
      <c r="T15" s="26"/>
      <c r="U15" s="27" t="s">
        <v>1</v>
      </c>
      <c r="V15" s="28">
        <f t="shared" ref="V15:V16" si="8">AVERAGE(G12,G15,G18)</f>
        <v>909.29733333333331</v>
      </c>
      <c r="W15" s="29">
        <f t="shared" ref="W15:X16" si="9">AVERAGE(P12,P15,P18)</f>
        <v>16.517651017706719</v>
      </c>
      <c r="X15" s="29">
        <f t="shared" si="9"/>
        <v>4.1294127544266797</v>
      </c>
      <c r="Z15" t="s">
        <v>11</v>
      </c>
    </row>
    <row r="16" spans="1:26" ht="18" x14ac:dyDescent="0.25">
      <c r="A16" s="32" t="s">
        <v>12</v>
      </c>
      <c r="B16" s="16"/>
      <c r="C16" s="16"/>
      <c r="D16" s="16"/>
      <c r="E16" s="17"/>
      <c r="F16" s="18" t="s">
        <v>2</v>
      </c>
      <c r="G16" s="19">
        <v>120.89</v>
      </c>
      <c r="H16" s="16">
        <v>50</v>
      </c>
      <c r="I16" s="16">
        <v>4</v>
      </c>
      <c r="J16" s="16">
        <v>10</v>
      </c>
      <c r="K16" s="16">
        <f t="shared" si="0"/>
        <v>0.05</v>
      </c>
      <c r="L16" s="16">
        <v>5</v>
      </c>
      <c r="M16" s="20">
        <f t="shared" si="7"/>
        <v>2.6474910000000001E-3</v>
      </c>
      <c r="N16" s="21">
        <v>21.9</v>
      </c>
      <c r="O16" s="20">
        <f t="shared" si="1"/>
        <v>0.10980010379061371</v>
      </c>
      <c r="P16" s="22">
        <f t="shared" si="2"/>
        <v>2.1960020758122742</v>
      </c>
      <c r="Q16" s="23">
        <f t="shared" si="3"/>
        <v>0.54900051895306856</v>
      </c>
      <c r="R16" s="31"/>
      <c r="S16" s="25"/>
      <c r="T16" s="26"/>
      <c r="U16" s="27" t="s">
        <v>2</v>
      </c>
      <c r="V16" s="28">
        <f t="shared" si="8"/>
        <v>120.43366666666667</v>
      </c>
      <c r="W16" s="29">
        <f t="shared" si="9"/>
        <v>2.1877126478425306</v>
      </c>
      <c r="X16" s="29">
        <f t="shared" si="9"/>
        <v>0.54692816196063265</v>
      </c>
    </row>
    <row r="17" spans="1:24" ht="18" x14ac:dyDescent="0.25">
      <c r="A17" s="1"/>
      <c r="B17" s="1"/>
      <c r="C17" s="1"/>
      <c r="D17" s="1"/>
      <c r="E17" s="2"/>
      <c r="F17" s="3" t="s">
        <v>0</v>
      </c>
      <c r="G17" s="33">
        <v>25383.727999999999</v>
      </c>
      <c r="H17" s="1">
        <v>50</v>
      </c>
      <c r="I17" s="1">
        <v>4</v>
      </c>
      <c r="J17" s="1">
        <v>10</v>
      </c>
      <c r="K17" s="1">
        <f t="shared" si="0"/>
        <v>0.05</v>
      </c>
      <c r="L17" s="1">
        <v>5</v>
      </c>
      <c r="M17" s="5">
        <f t="shared" si="7"/>
        <v>0.55590364319999996</v>
      </c>
      <c r="N17" s="6">
        <v>21.9</v>
      </c>
      <c r="O17" s="5">
        <f t="shared" si="1"/>
        <v>23.055140780814849</v>
      </c>
      <c r="P17" s="7">
        <f t="shared" si="2"/>
        <v>461.10281561629694</v>
      </c>
      <c r="Q17" s="8">
        <f t="shared" si="3"/>
        <v>115.27570390407423</v>
      </c>
      <c r="R17" s="9"/>
      <c r="S17" s="10"/>
      <c r="T17" s="14"/>
      <c r="V17" s="12"/>
      <c r="W17" s="34"/>
    </row>
    <row r="18" spans="1:24" x14ac:dyDescent="0.25">
      <c r="A18" s="1"/>
      <c r="B18" s="1"/>
      <c r="C18" s="1"/>
      <c r="D18" s="1"/>
      <c r="E18" s="35"/>
      <c r="F18" s="3" t="s">
        <v>1</v>
      </c>
      <c r="G18" s="33">
        <v>950.27200000000005</v>
      </c>
      <c r="H18" s="1">
        <v>50</v>
      </c>
      <c r="I18" s="1">
        <v>4</v>
      </c>
      <c r="J18" s="1">
        <v>10</v>
      </c>
      <c r="K18" s="1">
        <f t="shared" si="0"/>
        <v>0.05</v>
      </c>
      <c r="L18" s="1">
        <v>5</v>
      </c>
      <c r="M18" s="5">
        <f t="shared" si="7"/>
        <v>2.0810956799999999E-2</v>
      </c>
      <c r="N18" s="6">
        <v>21.9</v>
      </c>
      <c r="O18" s="5">
        <f t="shared" si="1"/>
        <v>0.86309838886023704</v>
      </c>
      <c r="P18" s="7">
        <f t="shared" si="2"/>
        <v>17.261967777204738</v>
      </c>
      <c r="Q18" s="8">
        <f t="shared" si="3"/>
        <v>4.3154919443011845</v>
      </c>
      <c r="R18" s="13">
        <f>G18/(G17+G18)*100</f>
        <v>3.6085364927470192</v>
      </c>
      <c r="S18" s="10"/>
      <c r="T18" s="14"/>
      <c r="V18" s="12"/>
      <c r="W18" s="34"/>
    </row>
    <row r="19" spans="1:24" ht="18" x14ac:dyDescent="0.25">
      <c r="A19" s="36"/>
      <c r="B19" s="37"/>
      <c r="C19" s="37"/>
      <c r="D19" s="37"/>
      <c r="E19" s="38"/>
      <c r="F19" s="39" t="s">
        <v>2</v>
      </c>
      <c r="G19" s="40">
        <v>122.00700000000001</v>
      </c>
      <c r="H19" s="37">
        <v>50</v>
      </c>
      <c r="I19" s="37">
        <v>4</v>
      </c>
      <c r="J19" s="37">
        <v>10</v>
      </c>
      <c r="K19" s="37">
        <f t="shared" si="0"/>
        <v>0.05</v>
      </c>
      <c r="L19" s="37">
        <v>5</v>
      </c>
      <c r="M19" s="41">
        <f t="shared" si="7"/>
        <v>2.6719533E-3</v>
      </c>
      <c r="N19" s="42">
        <v>21.9</v>
      </c>
      <c r="O19" s="41">
        <f t="shared" si="1"/>
        <v>0.11081463531459515</v>
      </c>
      <c r="P19" s="43">
        <f t="shared" si="2"/>
        <v>2.2162927062919029</v>
      </c>
      <c r="Q19" s="44">
        <f t="shared" si="3"/>
        <v>0.55407317657297572</v>
      </c>
      <c r="R19" s="45"/>
      <c r="S19" s="46"/>
      <c r="T19" s="47"/>
      <c r="V19" s="12"/>
      <c r="W19" s="34"/>
    </row>
    <row r="20" spans="1:24" ht="18" x14ac:dyDescent="0.25">
      <c r="A20" s="1"/>
      <c r="B20" s="1"/>
      <c r="C20" s="1"/>
      <c r="D20" s="1"/>
      <c r="E20" s="2"/>
      <c r="F20" s="3" t="s">
        <v>0</v>
      </c>
      <c r="G20" s="4">
        <v>246.53100000000001</v>
      </c>
      <c r="H20" s="1">
        <v>50</v>
      </c>
      <c r="I20" s="1">
        <v>4</v>
      </c>
      <c r="J20" s="1">
        <v>10</v>
      </c>
      <c r="K20" s="1">
        <f t="shared" si="0"/>
        <v>0.05</v>
      </c>
      <c r="L20" s="1">
        <v>5</v>
      </c>
      <c r="M20" s="5">
        <f>G20*N20/1000000</f>
        <v>5.3990288999999992E-3</v>
      </c>
      <c r="N20" s="6">
        <v>21.9</v>
      </c>
      <c r="O20" s="5">
        <f t="shared" si="1"/>
        <v>0.22391537255028354</v>
      </c>
      <c r="P20" s="7">
        <f t="shared" si="2"/>
        <v>4.4783074510056702</v>
      </c>
      <c r="Q20" s="8">
        <f t="shared" si="3"/>
        <v>1.1195768627514175</v>
      </c>
      <c r="R20" s="9"/>
      <c r="S20" s="10"/>
      <c r="T20" s="11"/>
      <c r="V20" s="12"/>
    </row>
    <row r="21" spans="1:24" x14ac:dyDescent="0.25">
      <c r="A21" s="1"/>
      <c r="B21" s="1"/>
      <c r="C21" s="1"/>
      <c r="D21" s="1"/>
      <c r="E21" s="2"/>
      <c r="F21" s="3" t="s">
        <v>1</v>
      </c>
      <c r="G21" s="4">
        <v>533.63499999999999</v>
      </c>
      <c r="H21" s="1">
        <v>50</v>
      </c>
      <c r="I21" s="1">
        <v>4</v>
      </c>
      <c r="J21" s="1">
        <v>10</v>
      </c>
      <c r="K21" s="1">
        <f t="shared" si="0"/>
        <v>0.05</v>
      </c>
      <c r="L21" s="1">
        <v>5</v>
      </c>
      <c r="M21" s="5">
        <f t="shared" ref="M21:M28" si="10">G21*N21/1000000</f>
        <v>1.16866065E-2</v>
      </c>
      <c r="N21" s="6">
        <v>21.9</v>
      </c>
      <c r="O21" s="5">
        <f t="shared" si="1"/>
        <v>0.48468176347343989</v>
      </c>
      <c r="P21" s="7">
        <f t="shared" si="2"/>
        <v>9.6936352694687979</v>
      </c>
      <c r="Q21" s="8">
        <f t="shared" si="3"/>
        <v>2.4234088173671995</v>
      </c>
      <c r="R21" s="13">
        <f>G21/(G20+G21)*100</f>
        <v>68.400186626948624</v>
      </c>
      <c r="S21" s="10"/>
      <c r="T21" s="14"/>
      <c r="V21" s="12"/>
    </row>
    <row r="22" spans="1:24" ht="18" x14ac:dyDescent="0.25">
      <c r="A22" s="15"/>
      <c r="B22" s="1"/>
      <c r="C22" s="1"/>
      <c r="D22" s="1"/>
      <c r="E22" s="2"/>
      <c r="F22" s="3" t="s">
        <v>2</v>
      </c>
      <c r="G22" s="4">
        <v>0</v>
      </c>
      <c r="H22" s="1">
        <v>50</v>
      </c>
      <c r="I22" s="1">
        <v>4</v>
      </c>
      <c r="J22" s="1">
        <v>10</v>
      </c>
      <c r="K22" s="1">
        <f t="shared" si="0"/>
        <v>0.05</v>
      </c>
      <c r="L22" s="1">
        <v>5</v>
      </c>
      <c r="M22" s="5">
        <f t="shared" si="10"/>
        <v>0</v>
      </c>
      <c r="N22" s="6">
        <v>21.9</v>
      </c>
      <c r="O22" s="5">
        <f t="shared" si="1"/>
        <v>0</v>
      </c>
      <c r="P22" s="7">
        <f t="shared" si="2"/>
        <v>0</v>
      </c>
      <c r="Q22" s="8">
        <f t="shared" si="3"/>
        <v>0</v>
      </c>
      <c r="R22" s="13"/>
      <c r="S22" s="10"/>
      <c r="T22" s="14"/>
      <c r="V22" s="12"/>
    </row>
    <row r="23" spans="1:24" ht="18" x14ac:dyDescent="0.25">
      <c r="A23" s="16" t="s">
        <v>3</v>
      </c>
      <c r="B23" s="16" t="s">
        <v>38</v>
      </c>
      <c r="C23" s="16" t="s">
        <v>5</v>
      </c>
      <c r="D23" s="16"/>
      <c r="E23" s="17" t="s">
        <v>36</v>
      </c>
      <c r="F23" s="18" t="s">
        <v>0</v>
      </c>
      <c r="G23" s="19">
        <v>289.75099999999998</v>
      </c>
      <c r="H23" s="16">
        <v>50</v>
      </c>
      <c r="I23" s="16">
        <v>4</v>
      </c>
      <c r="J23" s="16">
        <v>10</v>
      </c>
      <c r="K23" s="16">
        <f t="shared" si="0"/>
        <v>0.05</v>
      </c>
      <c r="L23" s="16">
        <v>5</v>
      </c>
      <c r="M23" s="20">
        <f t="shared" si="10"/>
        <v>6.3455468999999995E-3</v>
      </c>
      <c r="N23" s="21">
        <v>21.9</v>
      </c>
      <c r="O23" s="20">
        <f t="shared" si="1"/>
        <v>0.26317056723826709</v>
      </c>
      <c r="P23" s="22">
        <f t="shared" si="2"/>
        <v>5.2634113447653412</v>
      </c>
      <c r="Q23" s="23">
        <f t="shared" si="3"/>
        <v>1.3158528361913353</v>
      </c>
      <c r="R23" s="24"/>
      <c r="S23" s="25"/>
      <c r="T23" s="26"/>
      <c r="U23" s="27" t="s">
        <v>0</v>
      </c>
      <c r="V23" s="28">
        <f>AVERAGE(G20,G23,G26)</f>
        <v>284.77</v>
      </c>
      <c r="W23" s="29">
        <f>AVERAGE(P20,P23,P26)</f>
        <v>5.1729300283651343</v>
      </c>
      <c r="X23" s="29">
        <f>AVERAGE(Q20,Q23,Q26)</f>
        <v>1.2932325070912836</v>
      </c>
    </row>
    <row r="24" spans="1:24" x14ac:dyDescent="0.25">
      <c r="A24" s="16" t="s">
        <v>7</v>
      </c>
      <c r="B24" s="16" t="s">
        <v>8</v>
      </c>
      <c r="C24" s="16" t="s">
        <v>9</v>
      </c>
      <c r="D24" s="16"/>
      <c r="E24" s="30"/>
      <c r="F24" s="18" t="s">
        <v>1</v>
      </c>
      <c r="G24" s="19">
        <v>547.09</v>
      </c>
      <c r="H24" s="16">
        <v>50</v>
      </c>
      <c r="I24" s="16">
        <v>4</v>
      </c>
      <c r="J24" s="16">
        <v>10</v>
      </c>
      <c r="K24" s="16">
        <f t="shared" si="0"/>
        <v>0.05</v>
      </c>
      <c r="L24" s="16">
        <v>5</v>
      </c>
      <c r="M24" s="20">
        <f t="shared" si="10"/>
        <v>1.1981271E-2</v>
      </c>
      <c r="N24" s="21">
        <v>21.9</v>
      </c>
      <c r="O24" s="20">
        <f t="shared" si="1"/>
        <v>0.49690246325425463</v>
      </c>
      <c r="P24" s="22">
        <f t="shared" si="2"/>
        <v>9.9380492650850929</v>
      </c>
      <c r="Q24" s="23">
        <f t="shared" si="3"/>
        <v>2.4845123162712732</v>
      </c>
      <c r="R24" s="31">
        <f>G24/(G23+G24)*100</f>
        <v>65.375620936354693</v>
      </c>
      <c r="S24" s="25"/>
      <c r="T24" s="26"/>
      <c r="U24" s="27" t="s">
        <v>1</v>
      </c>
      <c r="V24" s="28">
        <f t="shared" ref="V24:V25" si="11">AVERAGE(G21,G24,G27)</f>
        <v>557.00366666666662</v>
      </c>
      <c r="W24" s="29">
        <f t="shared" ref="W24:X25" si="12">AVERAGE(P21,P24,P27)</f>
        <v>10.118133908801786</v>
      </c>
      <c r="X24" s="29">
        <f t="shared" si="12"/>
        <v>2.5295334772004465</v>
      </c>
    </row>
    <row r="25" spans="1:24" ht="18" x14ac:dyDescent="0.25">
      <c r="A25" s="32" t="s">
        <v>39</v>
      </c>
      <c r="B25" s="16"/>
      <c r="C25" s="16"/>
      <c r="D25" s="16"/>
      <c r="E25" s="17"/>
      <c r="F25" s="18" t="s">
        <v>2</v>
      </c>
      <c r="G25" s="19">
        <v>0</v>
      </c>
      <c r="H25" s="16">
        <v>50</v>
      </c>
      <c r="I25" s="16">
        <v>4</v>
      </c>
      <c r="J25" s="16">
        <v>10</v>
      </c>
      <c r="K25" s="16">
        <f t="shared" si="0"/>
        <v>0.05</v>
      </c>
      <c r="L25" s="16">
        <v>5</v>
      </c>
      <c r="M25" s="20">
        <f t="shared" si="10"/>
        <v>0</v>
      </c>
      <c r="N25" s="21">
        <v>21.9</v>
      </c>
      <c r="O25" s="20">
        <f t="shared" si="1"/>
        <v>0</v>
      </c>
      <c r="P25" s="22">
        <f t="shared" si="2"/>
        <v>0</v>
      </c>
      <c r="Q25" s="23">
        <f t="shared" si="3"/>
        <v>0</v>
      </c>
      <c r="R25" s="31"/>
      <c r="S25" s="25"/>
      <c r="T25" s="26"/>
      <c r="U25" s="27" t="s">
        <v>2</v>
      </c>
      <c r="V25" s="28">
        <f t="shared" si="11"/>
        <v>0</v>
      </c>
      <c r="W25" s="29">
        <f t="shared" si="12"/>
        <v>0</v>
      </c>
      <c r="X25" s="29">
        <f t="shared" si="12"/>
        <v>0</v>
      </c>
    </row>
    <row r="26" spans="1:24" ht="18" x14ac:dyDescent="0.25">
      <c r="A26" s="1"/>
      <c r="B26" s="1"/>
      <c r="C26" s="1"/>
      <c r="D26" s="1"/>
      <c r="E26" s="2"/>
      <c r="F26" s="3" t="s">
        <v>0</v>
      </c>
      <c r="G26" s="33">
        <v>318.02800000000002</v>
      </c>
      <c r="H26" s="1">
        <v>50</v>
      </c>
      <c r="I26" s="1">
        <v>4</v>
      </c>
      <c r="J26" s="1">
        <v>10</v>
      </c>
      <c r="K26" s="1">
        <f t="shared" si="0"/>
        <v>0.05</v>
      </c>
      <c r="L26" s="1">
        <v>5</v>
      </c>
      <c r="M26" s="5">
        <f t="shared" si="10"/>
        <v>6.9648131999999995E-3</v>
      </c>
      <c r="N26" s="6">
        <v>21.9</v>
      </c>
      <c r="O26" s="5">
        <f t="shared" si="1"/>
        <v>0.28885356446621957</v>
      </c>
      <c r="P26" s="7">
        <f t="shared" si="2"/>
        <v>5.7770712893243914</v>
      </c>
      <c r="Q26" s="8">
        <f t="shared" si="3"/>
        <v>1.4442678223310979</v>
      </c>
      <c r="R26" s="9"/>
      <c r="S26" s="10"/>
      <c r="T26" s="14"/>
      <c r="V26" s="12"/>
      <c r="W26" s="34"/>
    </row>
    <row r="27" spans="1:24" x14ac:dyDescent="0.25">
      <c r="A27" s="1"/>
      <c r="B27" s="1"/>
      <c r="C27" s="1"/>
      <c r="D27" s="1"/>
      <c r="E27" s="35"/>
      <c r="F27" s="3" t="s">
        <v>1</v>
      </c>
      <c r="G27" s="33">
        <v>590.28599999999994</v>
      </c>
      <c r="H27" s="1">
        <v>50</v>
      </c>
      <c r="I27" s="1">
        <v>4</v>
      </c>
      <c r="J27" s="1">
        <v>10</v>
      </c>
      <c r="K27" s="1">
        <f t="shared" si="0"/>
        <v>0.05</v>
      </c>
      <c r="L27" s="1">
        <v>5</v>
      </c>
      <c r="M27" s="5">
        <f t="shared" si="10"/>
        <v>1.2927263399999998E-2</v>
      </c>
      <c r="N27" s="6">
        <v>21.9</v>
      </c>
      <c r="O27" s="5">
        <f t="shared" si="1"/>
        <v>0.53613585959257326</v>
      </c>
      <c r="P27" s="7">
        <f t="shared" si="2"/>
        <v>10.722717191851464</v>
      </c>
      <c r="Q27" s="8">
        <f t="shared" si="3"/>
        <v>2.680679297962866</v>
      </c>
      <c r="R27" s="13">
        <f>G27/(G26+G27)*100</f>
        <v>64.986997888395422</v>
      </c>
      <c r="S27" s="10"/>
      <c r="T27" s="14"/>
      <c r="V27" s="12"/>
      <c r="W27" s="34"/>
    </row>
    <row r="28" spans="1:24" ht="18" x14ac:dyDescent="0.25">
      <c r="A28" s="36"/>
      <c r="B28" s="37"/>
      <c r="C28" s="37"/>
      <c r="D28" s="37"/>
      <c r="E28" s="38"/>
      <c r="F28" s="39" t="s">
        <v>2</v>
      </c>
      <c r="G28" s="40">
        <v>0</v>
      </c>
      <c r="H28" s="37">
        <v>50</v>
      </c>
      <c r="I28" s="37">
        <v>4</v>
      </c>
      <c r="J28" s="37">
        <v>10</v>
      </c>
      <c r="K28" s="37">
        <f t="shared" si="0"/>
        <v>0.05</v>
      </c>
      <c r="L28" s="37">
        <v>5</v>
      </c>
      <c r="M28" s="41">
        <f t="shared" si="10"/>
        <v>0</v>
      </c>
      <c r="N28" s="42">
        <v>21.9</v>
      </c>
      <c r="O28" s="41">
        <f t="shared" si="1"/>
        <v>0</v>
      </c>
      <c r="P28" s="43">
        <f t="shared" si="2"/>
        <v>0</v>
      </c>
      <c r="Q28" s="44">
        <f t="shared" si="3"/>
        <v>0</v>
      </c>
      <c r="R28" s="45"/>
      <c r="S28" s="46"/>
      <c r="T28" s="47"/>
      <c r="V28" s="12"/>
      <c r="W28" s="34"/>
    </row>
    <row r="29" spans="1:24" ht="18" x14ac:dyDescent="0.25">
      <c r="A29" s="1"/>
      <c r="B29" s="1"/>
      <c r="C29" s="1"/>
      <c r="D29" s="1"/>
      <c r="E29" s="2"/>
      <c r="F29" s="3" t="s">
        <v>0</v>
      </c>
      <c r="G29" s="4">
        <v>18583.179</v>
      </c>
      <c r="H29" s="1">
        <v>50</v>
      </c>
      <c r="I29" s="1">
        <v>4</v>
      </c>
      <c r="J29" s="1">
        <v>10</v>
      </c>
      <c r="K29" s="1">
        <f t="shared" si="0"/>
        <v>0.05</v>
      </c>
      <c r="L29" s="1">
        <v>5</v>
      </c>
      <c r="M29" s="5">
        <f>G29*N29/1000000</f>
        <v>0.40697162009999999</v>
      </c>
      <c r="N29" s="6">
        <v>21.9</v>
      </c>
      <c r="O29" s="5">
        <f t="shared" si="1"/>
        <v>16.878443071879833</v>
      </c>
      <c r="P29" s="7">
        <f t="shared" si="2"/>
        <v>337.56886143759664</v>
      </c>
      <c r="Q29" s="8">
        <f t="shared" si="3"/>
        <v>84.39221535939916</v>
      </c>
      <c r="R29" s="9"/>
      <c r="S29" s="10"/>
      <c r="T29" s="11"/>
      <c r="V29" s="12"/>
    </row>
    <row r="30" spans="1:24" x14ac:dyDescent="0.25">
      <c r="A30" s="1"/>
      <c r="B30" s="1"/>
      <c r="C30" s="1"/>
      <c r="D30" s="1"/>
      <c r="E30" s="2"/>
      <c r="F30" s="3" t="s">
        <v>1</v>
      </c>
      <c r="G30" s="4">
        <v>1232.819</v>
      </c>
      <c r="H30" s="1">
        <v>50</v>
      </c>
      <c r="I30" s="1">
        <v>4</v>
      </c>
      <c r="J30" s="1">
        <v>10</v>
      </c>
      <c r="K30" s="1">
        <f t="shared" si="0"/>
        <v>0.05</v>
      </c>
      <c r="L30" s="1">
        <v>5</v>
      </c>
      <c r="M30" s="5">
        <f t="shared" ref="M30:M37" si="13">G30*N30/1000000</f>
        <v>2.6998736099999997E-2</v>
      </c>
      <c r="N30" s="6">
        <v>21.9</v>
      </c>
      <c r="O30" s="5">
        <f t="shared" si="1"/>
        <v>1.1197258181407936</v>
      </c>
      <c r="P30" s="7">
        <f t="shared" si="2"/>
        <v>22.394516362815871</v>
      </c>
      <c r="Q30" s="8">
        <f t="shared" si="3"/>
        <v>5.5986290907039677</v>
      </c>
      <c r="R30" s="13">
        <f>G30/(G29+G30)*100</f>
        <v>6.2213318753867455</v>
      </c>
      <c r="S30" s="10"/>
      <c r="T30" s="14"/>
      <c r="V30" s="12"/>
    </row>
    <row r="31" spans="1:24" ht="18" x14ac:dyDescent="0.25">
      <c r="A31" s="15"/>
      <c r="B31" s="1"/>
      <c r="C31" s="1"/>
      <c r="D31" s="1"/>
      <c r="E31" s="2"/>
      <c r="F31" s="3" t="s">
        <v>2</v>
      </c>
      <c r="G31" s="4">
        <v>86.081999999999994</v>
      </c>
      <c r="H31" s="1">
        <v>50</v>
      </c>
      <c r="I31" s="1">
        <v>4</v>
      </c>
      <c r="J31" s="1">
        <v>10</v>
      </c>
      <c r="K31" s="1">
        <f t="shared" si="0"/>
        <v>0.05</v>
      </c>
      <c r="L31" s="1">
        <v>5</v>
      </c>
      <c r="M31" s="5">
        <f t="shared" si="13"/>
        <v>1.8851957999999997E-3</v>
      </c>
      <c r="N31" s="6">
        <v>21.9</v>
      </c>
      <c r="O31" s="5">
        <f t="shared" si="1"/>
        <v>7.8185230660134067E-2</v>
      </c>
      <c r="P31" s="7">
        <f t="shared" si="2"/>
        <v>1.5637046132026813</v>
      </c>
      <c r="Q31" s="8">
        <f t="shared" si="3"/>
        <v>0.39092615330067032</v>
      </c>
      <c r="R31" s="13"/>
      <c r="S31" s="10"/>
      <c r="T31" s="14"/>
      <c r="V31" s="12"/>
    </row>
    <row r="32" spans="1:24" ht="18" x14ac:dyDescent="0.25">
      <c r="A32" s="16" t="s">
        <v>3</v>
      </c>
      <c r="B32" s="16" t="s">
        <v>38</v>
      </c>
      <c r="C32" s="16" t="s">
        <v>5</v>
      </c>
      <c r="D32" s="16"/>
      <c r="E32" s="17" t="s">
        <v>6</v>
      </c>
      <c r="F32" s="18" t="s">
        <v>0</v>
      </c>
      <c r="G32" s="19">
        <v>20113.567999999999</v>
      </c>
      <c r="H32" s="16">
        <v>50</v>
      </c>
      <c r="I32" s="16">
        <v>4</v>
      </c>
      <c r="J32" s="16">
        <v>10</v>
      </c>
      <c r="K32" s="16">
        <f t="shared" si="0"/>
        <v>0.05</v>
      </c>
      <c r="L32" s="16">
        <v>5</v>
      </c>
      <c r="M32" s="20">
        <f t="shared" si="13"/>
        <v>0.44048713919999999</v>
      </c>
      <c r="N32" s="21">
        <v>21.9</v>
      </c>
      <c r="O32" s="20">
        <f t="shared" si="1"/>
        <v>18.268441177926764</v>
      </c>
      <c r="P32" s="22">
        <f t="shared" si="2"/>
        <v>365.36882355853527</v>
      </c>
      <c r="Q32" s="23">
        <f t="shared" si="3"/>
        <v>91.342205889633817</v>
      </c>
      <c r="R32" s="24"/>
      <c r="S32" s="25"/>
      <c r="T32" s="26"/>
      <c r="U32" s="27" t="s">
        <v>0</v>
      </c>
      <c r="V32" s="28">
        <f>AVERAGE(G29,G32,G35)</f>
        <v>19180.674999999999</v>
      </c>
      <c r="W32" s="29">
        <f>AVERAGE(P29,P32,P35)</f>
        <v>348.42255038035063</v>
      </c>
      <c r="X32" s="29">
        <f>AVERAGE(Q29,Q32,Q35)</f>
        <v>87.105637595087657</v>
      </c>
    </row>
    <row r="33" spans="1:24" x14ac:dyDescent="0.25">
      <c r="A33" s="16" t="s">
        <v>7</v>
      </c>
      <c r="B33" s="16" t="s">
        <v>8</v>
      </c>
      <c r="C33" s="16" t="s">
        <v>9</v>
      </c>
      <c r="D33" s="16"/>
      <c r="E33" s="30" t="s">
        <v>10</v>
      </c>
      <c r="F33" s="18" t="s">
        <v>1</v>
      </c>
      <c r="G33" s="19">
        <v>1269.4639999999999</v>
      </c>
      <c r="H33" s="16">
        <v>50</v>
      </c>
      <c r="I33" s="16">
        <v>4</v>
      </c>
      <c r="J33" s="16">
        <v>10</v>
      </c>
      <c r="K33" s="16">
        <f t="shared" si="0"/>
        <v>0.05</v>
      </c>
      <c r="L33" s="16">
        <v>5</v>
      </c>
      <c r="M33" s="20">
        <f t="shared" si="13"/>
        <v>2.7801261599999998E-2</v>
      </c>
      <c r="N33" s="21">
        <v>21.9</v>
      </c>
      <c r="O33" s="20">
        <f t="shared" si="1"/>
        <v>1.1530091732851984</v>
      </c>
      <c r="P33" s="22">
        <f t="shared" si="2"/>
        <v>23.060183465703965</v>
      </c>
      <c r="Q33" s="23">
        <f t="shared" si="3"/>
        <v>5.7650458664259912</v>
      </c>
      <c r="R33" s="31">
        <f>G33/(G32+G33)*100</f>
        <v>5.9367820241769262</v>
      </c>
      <c r="S33" s="25"/>
      <c r="T33" s="26"/>
      <c r="U33" s="27" t="s">
        <v>1</v>
      </c>
      <c r="V33" s="28">
        <f t="shared" ref="V33:V34" si="14">AVERAGE(G30,G33,G36)</f>
        <v>1249.3320000000001</v>
      </c>
      <c r="W33" s="29">
        <f t="shared" ref="W33:X34" si="15">AVERAGE(P30,P33,P36)</f>
        <v>22.694479819494575</v>
      </c>
      <c r="X33" s="29">
        <f t="shared" si="15"/>
        <v>5.6736199548736437</v>
      </c>
    </row>
    <row r="34" spans="1:24" ht="18" x14ac:dyDescent="0.25">
      <c r="A34" s="32" t="s">
        <v>40</v>
      </c>
      <c r="B34" s="16"/>
      <c r="C34" s="16"/>
      <c r="D34" s="16"/>
      <c r="E34" s="17"/>
      <c r="F34" s="18" t="s">
        <v>2</v>
      </c>
      <c r="G34" s="19">
        <v>108.98</v>
      </c>
      <c r="H34" s="16">
        <v>50</v>
      </c>
      <c r="I34" s="16">
        <v>4</v>
      </c>
      <c r="J34" s="16">
        <v>10</v>
      </c>
      <c r="K34" s="16">
        <f t="shared" si="0"/>
        <v>0.05</v>
      </c>
      <c r="L34" s="16">
        <v>5</v>
      </c>
      <c r="M34" s="20">
        <f t="shared" si="13"/>
        <v>2.3866619999999999E-3</v>
      </c>
      <c r="N34" s="21">
        <v>21.9</v>
      </c>
      <c r="O34" s="20">
        <f t="shared" si="1"/>
        <v>9.8982672769468788E-2</v>
      </c>
      <c r="P34" s="22">
        <f t="shared" si="2"/>
        <v>1.9796534553893756</v>
      </c>
      <c r="Q34" s="23">
        <f t="shared" si="3"/>
        <v>0.49491336384734391</v>
      </c>
      <c r="R34" s="31"/>
      <c r="S34" s="25"/>
      <c r="T34" s="26"/>
      <c r="U34" s="27" t="s">
        <v>2</v>
      </c>
      <c r="V34" s="28">
        <f t="shared" si="14"/>
        <v>101.58499999999999</v>
      </c>
      <c r="W34" s="29">
        <f t="shared" si="15"/>
        <v>1.8453211255801953</v>
      </c>
      <c r="X34" s="29">
        <f t="shared" si="15"/>
        <v>0.46133028139504884</v>
      </c>
    </row>
    <row r="35" spans="1:24" ht="18" x14ac:dyDescent="0.25">
      <c r="A35" s="1"/>
      <c r="B35" s="1"/>
      <c r="C35" s="1"/>
      <c r="D35" s="1"/>
      <c r="E35" s="2"/>
      <c r="F35" s="3" t="s">
        <v>0</v>
      </c>
      <c r="G35" s="33">
        <v>18845.277999999998</v>
      </c>
      <c r="H35" s="1">
        <v>50</v>
      </c>
      <c r="I35" s="1">
        <v>4</v>
      </c>
      <c r="J35" s="1">
        <v>10</v>
      </c>
      <c r="K35" s="1">
        <f t="shared" si="0"/>
        <v>0.05</v>
      </c>
      <c r="L35" s="1">
        <v>5</v>
      </c>
      <c r="M35" s="5">
        <f t="shared" si="13"/>
        <v>0.41271158819999992</v>
      </c>
      <c r="N35" s="6">
        <v>21.9</v>
      </c>
      <c r="O35" s="5">
        <f t="shared" si="1"/>
        <v>17.116498307245998</v>
      </c>
      <c r="P35" s="7">
        <f t="shared" si="2"/>
        <v>342.32996614491992</v>
      </c>
      <c r="Q35" s="8">
        <f t="shared" si="3"/>
        <v>85.582491536229981</v>
      </c>
      <c r="R35" s="9"/>
      <c r="S35" s="10"/>
      <c r="T35" s="14"/>
      <c r="V35" s="12"/>
      <c r="W35" s="34"/>
    </row>
    <row r="36" spans="1:24" x14ac:dyDescent="0.25">
      <c r="A36" s="1"/>
      <c r="B36" s="1"/>
      <c r="C36" s="1"/>
      <c r="D36" s="1"/>
      <c r="E36" s="35"/>
      <c r="F36" s="3" t="s">
        <v>1</v>
      </c>
      <c r="G36" s="33">
        <v>1245.713</v>
      </c>
      <c r="H36" s="1">
        <v>50</v>
      </c>
      <c r="I36" s="1">
        <v>4</v>
      </c>
      <c r="J36" s="1">
        <v>10</v>
      </c>
      <c r="K36" s="1">
        <f t="shared" si="0"/>
        <v>0.05</v>
      </c>
      <c r="L36" s="1">
        <v>5</v>
      </c>
      <c r="M36" s="5">
        <f t="shared" si="13"/>
        <v>2.7281114699999998E-2</v>
      </c>
      <c r="N36" s="6">
        <v>21.9</v>
      </c>
      <c r="O36" s="5">
        <f t="shared" si="1"/>
        <v>1.1314369814981948</v>
      </c>
      <c r="P36" s="7">
        <f t="shared" si="2"/>
        <v>22.628739629963896</v>
      </c>
      <c r="Q36" s="8">
        <f t="shared" si="3"/>
        <v>5.6571849074909739</v>
      </c>
      <c r="R36" s="13">
        <f>G36/(G35+G36)*100</f>
        <v>6.2003561695886482</v>
      </c>
      <c r="S36" s="10"/>
      <c r="T36" s="14"/>
      <c r="V36" s="12"/>
      <c r="W36" s="34"/>
    </row>
    <row r="37" spans="1:24" ht="18" x14ac:dyDescent="0.25">
      <c r="A37" s="36"/>
      <c r="B37" s="37"/>
      <c r="C37" s="37"/>
      <c r="D37" s="37"/>
      <c r="E37" s="38"/>
      <c r="F37" s="39" t="s">
        <v>2</v>
      </c>
      <c r="G37" s="40">
        <v>109.693</v>
      </c>
      <c r="H37" s="37">
        <v>50</v>
      </c>
      <c r="I37" s="37">
        <v>4</v>
      </c>
      <c r="J37" s="37">
        <v>10</v>
      </c>
      <c r="K37" s="37">
        <f t="shared" si="0"/>
        <v>0.05</v>
      </c>
      <c r="L37" s="37">
        <v>5</v>
      </c>
      <c r="M37" s="41">
        <f t="shared" si="13"/>
        <v>2.4022766999999999E-3</v>
      </c>
      <c r="N37" s="42">
        <v>21.9</v>
      </c>
      <c r="O37" s="41">
        <f t="shared" si="1"/>
        <v>9.9630265407426477E-2</v>
      </c>
      <c r="P37" s="43">
        <f t="shared" si="2"/>
        <v>1.9926053081485295</v>
      </c>
      <c r="Q37" s="44">
        <f t="shared" si="3"/>
        <v>0.49815132703713239</v>
      </c>
      <c r="R37" s="45"/>
      <c r="S37" s="46"/>
      <c r="T37" s="47"/>
      <c r="V37" s="12"/>
      <c r="W37" s="34"/>
    </row>
    <row r="38" spans="1:24" ht="18" x14ac:dyDescent="0.25">
      <c r="A38" s="1"/>
      <c r="B38" s="1"/>
      <c r="C38" s="1"/>
      <c r="D38" s="1"/>
      <c r="E38" s="2"/>
      <c r="F38" s="3" t="s">
        <v>0</v>
      </c>
      <c r="G38" s="4">
        <v>79.16</v>
      </c>
      <c r="H38" s="1">
        <v>50</v>
      </c>
      <c r="I38" s="1">
        <v>4</v>
      </c>
      <c r="J38" s="1">
        <v>10</v>
      </c>
      <c r="K38" s="1">
        <f t="shared" si="0"/>
        <v>0.05</v>
      </c>
      <c r="L38" s="1">
        <v>5</v>
      </c>
      <c r="M38" s="5">
        <f>G38*N38/1000000</f>
        <v>1.7336039999999999E-3</v>
      </c>
      <c r="N38" s="6">
        <v>21.9</v>
      </c>
      <c r="O38" s="5">
        <f t="shared" si="1"/>
        <v>7.1898223310985027E-2</v>
      </c>
      <c r="P38" s="7">
        <f t="shared" si="2"/>
        <v>1.4379644662197004</v>
      </c>
      <c r="Q38" s="8">
        <f t="shared" si="3"/>
        <v>0.35949111655492511</v>
      </c>
      <c r="R38" s="9"/>
      <c r="S38" s="10"/>
      <c r="T38" s="11"/>
      <c r="V38" s="12"/>
    </row>
    <row r="39" spans="1:24" x14ac:dyDescent="0.25">
      <c r="A39" s="1"/>
      <c r="B39" s="1"/>
      <c r="C39" s="1"/>
      <c r="D39" s="1"/>
      <c r="E39" s="2"/>
      <c r="F39" s="3" t="s">
        <v>1</v>
      </c>
      <c r="G39" s="4">
        <v>431.411</v>
      </c>
      <c r="H39" s="1">
        <v>50</v>
      </c>
      <c r="I39" s="1">
        <v>4</v>
      </c>
      <c r="J39" s="1">
        <v>10</v>
      </c>
      <c r="K39" s="1">
        <f t="shared" si="0"/>
        <v>0.05</v>
      </c>
      <c r="L39" s="1">
        <v>5</v>
      </c>
      <c r="M39" s="5">
        <f t="shared" ref="M39:M46" si="16">G39*N39/1000000</f>
        <v>9.4479008999999985E-3</v>
      </c>
      <c r="N39" s="6">
        <v>21.9</v>
      </c>
      <c r="O39" s="5">
        <f t="shared" si="1"/>
        <v>0.39183532613460531</v>
      </c>
      <c r="P39" s="7">
        <f t="shared" si="2"/>
        <v>7.836706522692106</v>
      </c>
      <c r="Q39" s="8">
        <f t="shared" si="3"/>
        <v>1.9591766306730265</v>
      </c>
      <c r="R39" s="13">
        <f>G39/(G38+G39)*100</f>
        <v>84.495790007658087</v>
      </c>
      <c r="S39" s="10"/>
      <c r="T39" s="14"/>
      <c r="V39" s="12"/>
    </row>
    <row r="40" spans="1:24" ht="18" x14ac:dyDescent="0.25">
      <c r="A40" s="15"/>
      <c r="B40" s="1"/>
      <c r="C40" s="1"/>
      <c r="D40" s="1"/>
      <c r="E40" s="2"/>
      <c r="F40" s="3" t="s">
        <v>2</v>
      </c>
      <c r="G40" s="4">
        <v>0</v>
      </c>
      <c r="H40" s="1">
        <v>50</v>
      </c>
      <c r="I40" s="1">
        <v>4</v>
      </c>
      <c r="J40" s="1">
        <v>10</v>
      </c>
      <c r="K40" s="1">
        <f t="shared" si="0"/>
        <v>0.05</v>
      </c>
      <c r="L40" s="1">
        <v>5</v>
      </c>
      <c r="M40" s="5">
        <f t="shared" si="16"/>
        <v>0</v>
      </c>
      <c r="N40" s="6">
        <v>21.9</v>
      </c>
      <c r="O40" s="5">
        <f t="shared" si="1"/>
        <v>0</v>
      </c>
      <c r="P40" s="7">
        <f t="shared" si="2"/>
        <v>0</v>
      </c>
      <c r="Q40" s="8">
        <f t="shared" si="3"/>
        <v>0</v>
      </c>
      <c r="R40" s="13"/>
      <c r="S40" s="10"/>
      <c r="T40" s="14"/>
      <c r="V40" s="12"/>
    </row>
    <row r="41" spans="1:24" ht="18" x14ac:dyDescent="0.25">
      <c r="A41" s="16" t="s">
        <v>3</v>
      </c>
      <c r="B41" s="16" t="s">
        <v>41</v>
      </c>
      <c r="C41" s="16" t="s">
        <v>5</v>
      </c>
      <c r="D41" s="16"/>
      <c r="E41" s="17" t="s">
        <v>36</v>
      </c>
      <c r="F41" s="18" t="s">
        <v>0</v>
      </c>
      <c r="G41" s="19">
        <v>69.259</v>
      </c>
      <c r="H41" s="16">
        <v>50</v>
      </c>
      <c r="I41" s="16">
        <v>4</v>
      </c>
      <c r="J41" s="16">
        <v>10</v>
      </c>
      <c r="K41" s="16">
        <f t="shared" si="0"/>
        <v>0.05</v>
      </c>
      <c r="L41" s="16">
        <v>5</v>
      </c>
      <c r="M41" s="20">
        <f t="shared" si="16"/>
        <v>1.5167720999999998E-3</v>
      </c>
      <c r="N41" s="21">
        <v>21.9</v>
      </c>
      <c r="O41" s="20">
        <f t="shared" si="1"/>
        <v>6.2905495809695691E-2</v>
      </c>
      <c r="P41" s="22">
        <f t="shared" si="2"/>
        <v>1.2581099161939138</v>
      </c>
      <c r="Q41" s="23">
        <f t="shared" si="3"/>
        <v>0.31452747904847844</v>
      </c>
      <c r="R41" s="24"/>
      <c r="S41" s="25"/>
      <c r="T41" s="26"/>
      <c r="U41" s="27" t="s">
        <v>0</v>
      </c>
      <c r="V41" s="28">
        <f>AVERAGE(G38,G41,G44)</f>
        <v>90.758333333333326</v>
      </c>
      <c r="W41" s="29">
        <f>AVERAGE(P38,P41,P44)</f>
        <v>1.6486515708268861</v>
      </c>
      <c r="X41" s="29">
        <f>AVERAGE(Q38,Q41,Q44)</f>
        <v>0.41216289270672152</v>
      </c>
    </row>
    <row r="42" spans="1:24" x14ac:dyDescent="0.25">
      <c r="A42" s="16" t="s">
        <v>7</v>
      </c>
      <c r="B42" s="16" t="s">
        <v>8</v>
      </c>
      <c r="C42" s="16" t="s">
        <v>9</v>
      </c>
      <c r="D42" s="16"/>
      <c r="E42" s="30"/>
      <c r="F42" s="18" t="s">
        <v>1</v>
      </c>
      <c r="G42" s="19">
        <v>440.94099999999997</v>
      </c>
      <c r="H42" s="16">
        <v>50</v>
      </c>
      <c r="I42" s="16">
        <v>4</v>
      </c>
      <c r="J42" s="16">
        <v>10</v>
      </c>
      <c r="K42" s="16">
        <f t="shared" si="0"/>
        <v>0.05</v>
      </c>
      <c r="L42" s="16">
        <v>5</v>
      </c>
      <c r="M42" s="20">
        <f t="shared" si="16"/>
        <v>9.6566078999999992E-3</v>
      </c>
      <c r="N42" s="21">
        <v>21.9</v>
      </c>
      <c r="O42" s="20">
        <f t="shared" si="1"/>
        <v>0.40049108748065998</v>
      </c>
      <c r="P42" s="22">
        <f t="shared" si="2"/>
        <v>8.0098217496131987</v>
      </c>
      <c r="Q42" s="23">
        <f t="shared" si="3"/>
        <v>2.0024554374032997</v>
      </c>
      <c r="R42" s="31">
        <f>G42/(G41+G42)*100</f>
        <v>86.425127401019211</v>
      </c>
      <c r="S42" s="25"/>
      <c r="T42" s="26"/>
      <c r="U42" s="27" t="s">
        <v>1</v>
      </c>
      <c r="V42" s="28">
        <f t="shared" ref="V42:V43" si="17">AVERAGE(G39,G42,G45)</f>
        <v>454.10433333333339</v>
      </c>
      <c r="W42" s="29">
        <f t="shared" ref="W42:X43" si="18">AVERAGE(P39,P42,P45)</f>
        <v>8.2489375352415291</v>
      </c>
      <c r="X42" s="29">
        <f t="shared" si="18"/>
        <v>2.0622343838103823</v>
      </c>
    </row>
    <row r="43" spans="1:24" ht="18" x14ac:dyDescent="0.25">
      <c r="A43" s="32" t="s">
        <v>42</v>
      </c>
      <c r="B43" s="16"/>
      <c r="C43" s="16"/>
      <c r="D43" s="16"/>
      <c r="E43" s="17"/>
      <c r="F43" s="18" t="s">
        <v>2</v>
      </c>
      <c r="G43" s="19">
        <v>0</v>
      </c>
      <c r="H43" s="16">
        <v>50</v>
      </c>
      <c r="I43" s="16">
        <v>4</v>
      </c>
      <c r="J43" s="16">
        <v>10</v>
      </c>
      <c r="K43" s="16">
        <f t="shared" si="0"/>
        <v>0.05</v>
      </c>
      <c r="L43" s="16">
        <v>5</v>
      </c>
      <c r="M43" s="20">
        <f t="shared" si="16"/>
        <v>0</v>
      </c>
      <c r="N43" s="21">
        <v>21.9</v>
      </c>
      <c r="O43" s="20">
        <f t="shared" si="1"/>
        <v>0</v>
      </c>
      <c r="P43" s="22">
        <f t="shared" si="2"/>
        <v>0</v>
      </c>
      <c r="Q43" s="23">
        <f t="shared" si="3"/>
        <v>0</v>
      </c>
      <c r="R43" s="31"/>
      <c r="S43" s="25"/>
      <c r="T43" s="26"/>
      <c r="U43" s="27" t="s">
        <v>2</v>
      </c>
      <c r="V43" s="28">
        <f t="shared" si="17"/>
        <v>0</v>
      </c>
      <c r="W43" s="29">
        <f t="shared" si="18"/>
        <v>0</v>
      </c>
      <c r="X43" s="29">
        <f t="shared" si="18"/>
        <v>0</v>
      </c>
    </row>
    <row r="44" spans="1:24" ht="18" x14ac:dyDescent="0.25">
      <c r="A44" s="1"/>
      <c r="B44" s="1"/>
      <c r="C44" s="1"/>
      <c r="D44" s="1"/>
      <c r="E44" s="2"/>
      <c r="F44" s="3" t="s">
        <v>0</v>
      </c>
      <c r="G44" s="33">
        <v>123.85599999999999</v>
      </c>
      <c r="H44" s="1">
        <v>50</v>
      </c>
      <c r="I44" s="1">
        <v>4</v>
      </c>
      <c r="J44" s="1">
        <v>10</v>
      </c>
      <c r="K44" s="1">
        <f t="shared" si="0"/>
        <v>0.05</v>
      </c>
      <c r="L44" s="1">
        <v>5</v>
      </c>
      <c r="M44" s="5">
        <f t="shared" si="16"/>
        <v>2.7124464E-3</v>
      </c>
      <c r="N44" s="6">
        <v>21.9</v>
      </c>
      <c r="O44" s="5">
        <f t="shared" si="1"/>
        <v>0.11249401650335222</v>
      </c>
      <c r="P44" s="7">
        <f t="shared" si="2"/>
        <v>2.2498803300670445</v>
      </c>
      <c r="Q44" s="8">
        <f t="shared" si="3"/>
        <v>0.56247008251676112</v>
      </c>
      <c r="R44" s="9"/>
      <c r="S44" s="10"/>
      <c r="T44" s="14"/>
      <c r="V44" s="12"/>
      <c r="W44" s="34"/>
    </row>
    <row r="45" spans="1:24" x14ac:dyDescent="0.25">
      <c r="A45" s="1"/>
      <c r="B45" s="1"/>
      <c r="C45" s="1"/>
      <c r="D45" s="1"/>
      <c r="E45" s="35"/>
      <c r="F45" s="3" t="s">
        <v>1</v>
      </c>
      <c r="G45" s="33">
        <v>489.96100000000001</v>
      </c>
      <c r="H45" s="1">
        <v>50</v>
      </c>
      <c r="I45" s="1">
        <v>4</v>
      </c>
      <c r="J45" s="1">
        <v>10</v>
      </c>
      <c r="K45" s="1">
        <f t="shared" si="0"/>
        <v>0.05</v>
      </c>
      <c r="L45" s="1">
        <v>5</v>
      </c>
      <c r="M45" s="5">
        <f t="shared" si="16"/>
        <v>1.07301459E-2</v>
      </c>
      <c r="N45" s="6">
        <v>21.9</v>
      </c>
      <c r="O45" s="5">
        <f t="shared" si="1"/>
        <v>0.44501421667096425</v>
      </c>
      <c r="P45" s="7">
        <f t="shared" si="2"/>
        <v>8.9002843334192843</v>
      </c>
      <c r="Q45" s="8">
        <f t="shared" si="3"/>
        <v>2.2250710833548211</v>
      </c>
      <c r="R45" s="13">
        <f>G45/(G44+G45)*100</f>
        <v>79.821999064867867</v>
      </c>
      <c r="S45" s="10"/>
      <c r="T45" s="14"/>
      <c r="V45" s="12"/>
      <c r="W45" s="34"/>
    </row>
    <row r="46" spans="1:24" ht="18" x14ac:dyDescent="0.25">
      <c r="A46" s="36"/>
      <c r="B46" s="37"/>
      <c r="C46" s="37"/>
      <c r="D46" s="37"/>
      <c r="E46" s="38"/>
      <c r="F46" s="39" t="s">
        <v>2</v>
      </c>
      <c r="G46" s="40">
        <v>0</v>
      </c>
      <c r="H46" s="37">
        <v>50</v>
      </c>
      <c r="I46" s="37">
        <v>4</v>
      </c>
      <c r="J46" s="37">
        <v>10</v>
      </c>
      <c r="K46" s="37">
        <f t="shared" si="0"/>
        <v>0.05</v>
      </c>
      <c r="L46" s="37">
        <v>5</v>
      </c>
      <c r="M46" s="41">
        <f t="shared" si="16"/>
        <v>0</v>
      </c>
      <c r="N46" s="42">
        <v>21.9</v>
      </c>
      <c r="O46" s="41">
        <f t="shared" si="1"/>
        <v>0</v>
      </c>
      <c r="P46" s="43">
        <f t="shared" si="2"/>
        <v>0</v>
      </c>
      <c r="Q46" s="44">
        <f t="shared" si="3"/>
        <v>0</v>
      </c>
      <c r="R46" s="45"/>
      <c r="S46" s="46"/>
      <c r="T46" s="47"/>
      <c r="V46" s="12"/>
      <c r="W46" s="34"/>
    </row>
    <row r="47" spans="1:24" ht="18" x14ac:dyDescent="0.25">
      <c r="A47" s="1"/>
      <c r="B47" s="1"/>
      <c r="C47" s="1"/>
      <c r="D47" s="1"/>
      <c r="E47" s="2"/>
      <c r="F47" s="3" t="s">
        <v>0</v>
      </c>
      <c r="G47" s="4">
        <v>16246.94</v>
      </c>
      <c r="H47" s="1">
        <v>50</v>
      </c>
      <c r="I47" s="1">
        <v>4</v>
      </c>
      <c r="J47" s="1">
        <v>10</v>
      </c>
      <c r="K47" s="1">
        <f t="shared" si="0"/>
        <v>0.05</v>
      </c>
      <c r="L47" s="1">
        <v>5</v>
      </c>
      <c r="M47" s="5">
        <f>G47*N47/1000000</f>
        <v>0.35580798599999997</v>
      </c>
      <c r="N47" s="6">
        <v>21.9</v>
      </c>
      <c r="O47" s="5">
        <f t="shared" si="1"/>
        <v>14.756519962609591</v>
      </c>
      <c r="P47" s="7">
        <f t="shared" si="2"/>
        <v>295.13039925219181</v>
      </c>
      <c r="Q47" s="8">
        <f t="shared" si="3"/>
        <v>73.782599813047952</v>
      </c>
      <c r="R47" s="9"/>
      <c r="S47" s="10"/>
      <c r="T47" s="11"/>
      <c r="V47" s="12"/>
    </row>
    <row r="48" spans="1:24" x14ac:dyDescent="0.25">
      <c r="A48" s="1"/>
      <c r="B48" s="1"/>
      <c r="C48" s="1"/>
      <c r="D48" s="1"/>
      <c r="E48" s="2"/>
      <c r="F48" s="3" t="s">
        <v>1</v>
      </c>
      <c r="G48" s="4">
        <v>883.48</v>
      </c>
      <c r="H48" s="1">
        <v>50</v>
      </c>
      <c r="I48" s="1">
        <v>4</v>
      </c>
      <c r="J48" s="1">
        <v>10</v>
      </c>
      <c r="K48" s="1">
        <f t="shared" si="0"/>
        <v>0.05</v>
      </c>
      <c r="L48" s="1">
        <v>5</v>
      </c>
      <c r="M48" s="5">
        <f t="shared" ref="M48:M55" si="19">G48*N48/1000000</f>
        <v>1.9348212E-2</v>
      </c>
      <c r="N48" s="6">
        <v>21.9</v>
      </c>
      <c r="O48" s="5">
        <f t="shared" si="1"/>
        <v>0.80243358174316648</v>
      </c>
      <c r="P48" s="7">
        <f t="shared" si="2"/>
        <v>16.048671634863329</v>
      </c>
      <c r="Q48" s="8">
        <f t="shared" si="3"/>
        <v>4.0121679087158322</v>
      </c>
      <c r="R48" s="13">
        <f>G48/(G47+G48)*100</f>
        <v>5.1573750089022914</v>
      </c>
      <c r="S48" s="10"/>
      <c r="T48" s="14"/>
      <c r="V48" s="12"/>
    </row>
    <row r="49" spans="1:24" ht="18" x14ac:dyDescent="0.25">
      <c r="A49" s="15"/>
      <c r="B49" s="1"/>
      <c r="C49" s="1"/>
      <c r="D49" s="1"/>
      <c r="E49" s="2"/>
      <c r="F49" s="3" t="s">
        <v>2</v>
      </c>
      <c r="G49" s="4">
        <v>76.896000000000001</v>
      </c>
      <c r="H49" s="1">
        <v>50</v>
      </c>
      <c r="I49" s="1">
        <v>4</v>
      </c>
      <c r="J49" s="1">
        <v>10</v>
      </c>
      <c r="K49" s="1">
        <f t="shared" si="0"/>
        <v>0.05</v>
      </c>
      <c r="L49" s="1">
        <v>5</v>
      </c>
      <c r="M49" s="5">
        <f t="shared" si="19"/>
        <v>1.6840223999999998E-3</v>
      </c>
      <c r="N49" s="6">
        <v>21.9</v>
      </c>
      <c r="O49" s="5">
        <f t="shared" si="1"/>
        <v>6.9841912325941169E-2</v>
      </c>
      <c r="P49" s="7">
        <f t="shared" si="2"/>
        <v>1.3968382465188234</v>
      </c>
      <c r="Q49" s="8">
        <f t="shared" si="3"/>
        <v>0.34920956162970584</v>
      </c>
      <c r="R49" s="13"/>
      <c r="S49" s="10"/>
      <c r="T49" s="14"/>
      <c r="V49" s="12"/>
    </row>
    <row r="50" spans="1:24" ht="18" x14ac:dyDescent="0.25">
      <c r="A50" s="16" t="s">
        <v>3</v>
      </c>
      <c r="B50" s="16" t="s">
        <v>41</v>
      </c>
      <c r="C50" s="16" t="s">
        <v>5</v>
      </c>
      <c r="D50" s="16"/>
      <c r="E50" s="17" t="s">
        <v>6</v>
      </c>
      <c r="F50" s="18" t="s">
        <v>0</v>
      </c>
      <c r="G50" s="19">
        <v>16941.073</v>
      </c>
      <c r="H50" s="16">
        <v>50</v>
      </c>
      <c r="I50" s="16">
        <v>4</v>
      </c>
      <c r="J50" s="16">
        <v>10</v>
      </c>
      <c r="K50" s="16">
        <f t="shared" si="0"/>
        <v>0.05</v>
      </c>
      <c r="L50" s="16">
        <v>5</v>
      </c>
      <c r="M50" s="20">
        <f t="shared" si="19"/>
        <v>0.3710094987</v>
      </c>
      <c r="N50" s="21">
        <v>21.9</v>
      </c>
      <c r="O50" s="20">
        <f t="shared" si="1"/>
        <v>15.386976372937077</v>
      </c>
      <c r="P50" s="22">
        <f t="shared" si="2"/>
        <v>307.73952745874152</v>
      </c>
      <c r="Q50" s="23">
        <f t="shared" si="3"/>
        <v>76.93488186468538</v>
      </c>
      <c r="R50" s="24"/>
      <c r="S50" s="25"/>
      <c r="T50" s="26"/>
      <c r="U50" s="27" t="s">
        <v>0</v>
      </c>
      <c r="V50" s="28">
        <f>AVERAGE(G47,G50,G53)</f>
        <v>17071.528999999999</v>
      </c>
      <c r="W50" s="29">
        <f>AVERAGE(P47,P50,P53)</f>
        <v>310.10929871196487</v>
      </c>
      <c r="X50" s="29">
        <f>AVERAGE(Q47,Q50,Q53)</f>
        <v>77.527324677991217</v>
      </c>
    </row>
    <row r="51" spans="1:24" x14ac:dyDescent="0.25">
      <c r="A51" s="16" t="s">
        <v>7</v>
      </c>
      <c r="B51" s="16" t="s">
        <v>8</v>
      </c>
      <c r="C51" s="16" t="s">
        <v>9</v>
      </c>
      <c r="D51" s="16"/>
      <c r="E51" s="30" t="s">
        <v>10</v>
      </c>
      <c r="F51" s="18" t="s">
        <v>1</v>
      </c>
      <c r="G51" s="19">
        <v>758.33799999999997</v>
      </c>
      <c r="H51" s="16">
        <v>50</v>
      </c>
      <c r="I51" s="16">
        <v>4</v>
      </c>
      <c r="J51" s="16">
        <v>10</v>
      </c>
      <c r="K51" s="16">
        <f t="shared" si="0"/>
        <v>0.05</v>
      </c>
      <c r="L51" s="16">
        <v>5</v>
      </c>
      <c r="M51" s="20">
        <f t="shared" si="19"/>
        <v>1.6607602199999998E-2</v>
      </c>
      <c r="N51" s="21">
        <v>21.9</v>
      </c>
      <c r="O51" s="20">
        <f t="shared" si="1"/>
        <v>0.68877153700360993</v>
      </c>
      <c r="P51" s="22">
        <f t="shared" si="2"/>
        <v>13.775430740072197</v>
      </c>
      <c r="Q51" s="23">
        <f t="shared" si="3"/>
        <v>3.4438576850180493</v>
      </c>
      <c r="R51" s="31">
        <f>G51/(G50+G51)*100</f>
        <v>4.2845380560968946</v>
      </c>
      <c r="S51" s="25"/>
      <c r="T51" s="26"/>
      <c r="U51" s="27" t="s">
        <v>1</v>
      </c>
      <c r="V51" s="28">
        <f t="shared" ref="V51:V52" si="20">AVERAGE(G48,G51,G54)</f>
        <v>823.21699999999998</v>
      </c>
      <c r="W51" s="29">
        <f t="shared" ref="W51:X52" si="21">AVERAGE(P48,P51,P54)</f>
        <v>14.95397667998968</v>
      </c>
      <c r="X51" s="29">
        <f t="shared" si="21"/>
        <v>3.7384941699974199</v>
      </c>
    </row>
    <row r="52" spans="1:24" ht="18" x14ac:dyDescent="0.25">
      <c r="A52" s="32" t="s">
        <v>43</v>
      </c>
      <c r="B52" s="16"/>
      <c r="C52" s="16"/>
      <c r="D52" s="16"/>
      <c r="E52" s="17"/>
      <c r="F52" s="18" t="s">
        <v>2</v>
      </c>
      <c r="G52" s="19">
        <v>79.942999999999998</v>
      </c>
      <c r="H52" s="16">
        <v>50</v>
      </c>
      <c r="I52" s="16">
        <v>4</v>
      </c>
      <c r="J52" s="16">
        <v>10</v>
      </c>
      <c r="K52" s="16">
        <f t="shared" si="0"/>
        <v>0.05</v>
      </c>
      <c r="L52" s="16">
        <v>5</v>
      </c>
      <c r="M52" s="20">
        <f t="shared" si="19"/>
        <v>1.7507516999999998E-3</v>
      </c>
      <c r="N52" s="21">
        <v>21.9</v>
      </c>
      <c r="O52" s="20">
        <f t="shared" si="1"/>
        <v>7.2609394468798327E-2</v>
      </c>
      <c r="P52" s="22">
        <f t="shared" si="2"/>
        <v>1.4521878893759665</v>
      </c>
      <c r="Q52" s="23">
        <f t="shared" si="3"/>
        <v>0.36304697234399164</v>
      </c>
      <c r="R52" s="31"/>
      <c r="S52" s="25"/>
      <c r="T52" s="26"/>
      <c r="U52" s="27" t="s">
        <v>2</v>
      </c>
      <c r="V52" s="28">
        <f t="shared" si="20"/>
        <v>79.315666666666672</v>
      </c>
      <c r="W52" s="29">
        <f t="shared" si="21"/>
        <v>1.440792196578992</v>
      </c>
      <c r="X52" s="29">
        <f t="shared" si="21"/>
        <v>0.36019804914474801</v>
      </c>
    </row>
    <row r="53" spans="1:24" ht="18" x14ac:dyDescent="0.25">
      <c r="A53" s="1"/>
      <c r="B53" s="1"/>
      <c r="C53" s="1"/>
      <c r="D53" s="1"/>
      <c r="E53" s="2"/>
      <c r="F53" s="3" t="s">
        <v>0</v>
      </c>
      <c r="G53" s="33">
        <v>18026.574000000001</v>
      </c>
      <c r="H53" s="1">
        <v>50</v>
      </c>
      <c r="I53" s="1">
        <v>4</v>
      </c>
      <c r="J53" s="1">
        <v>10</v>
      </c>
      <c r="K53" s="1">
        <f t="shared" si="0"/>
        <v>0.05</v>
      </c>
      <c r="L53" s="1">
        <v>5</v>
      </c>
      <c r="M53" s="5">
        <f t="shared" si="19"/>
        <v>0.39478197059999998</v>
      </c>
      <c r="N53" s="6">
        <v>21.9</v>
      </c>
      <c r="O53" s="5">
        <f t="shared" si="1"/>
        <v>16.372898471248064</v>
      </c>
      <c r="P53" s="7">
        <f t="shared" si="2"/>
        <v>327.45796942496128</v>
      </c>
      <c r="Q53" s="8">
        <f t="shared" si="3"/>
        <v>81.864492356240319</v>
      </c>
      <c r="R53" s="9"/>
      <c r="S53" s="10"/>
      <c r="T53" s="14"/>
      <c r="V53" s="12"/>
      <c r="W53" s="34"/>
    </row>
    <row r="54" spans="1:24" x14ac:dyDescent="0.25">
      <c r="A54" s="1"/>
      <c r="B54" s="1"/>
      <c r="C54" s="1"/>
      <c r="D54" s="1"/>
      <c r="E54" s="35"/>
      <c r="F54" s="3" t="s">
        <v>1</v>
      </c>
      <c r="G54" s="33">
        <v>827.83299999999997</v>
      </c>
      <c r="H54" s="1">
        <v>50</v>
      </c>
      <c r="I54" s="1">
        <v>4</v>
      </c>
      <c r="J54" s="1">
        <v>10</v>
      </c>
      <c r="K54" s="1">
        <f t="shared" si="0"/>
        <v>0.05</v>
      </c>
      <c r="L54" s="1">
        <v>5</v>
      </c>
      <c r="M54" s="5">
        <f t="shared" si="19"/>
        <v>1.8129542699999997E-2</v>
      </c>
      <c r="N54" s="6">
        <v>21.9</v>
      </c>
      <c r="O54" s="5">
        <f t="shared" si="1"/>
        <v>0.7518913832516757</v>
      </c>
      <c r="P54" s="7">
        <f t="shared" si="2"/>
        <v>15.037827665033513</v>
      </c>
      <c r="Q54" s="8">
        <f t="shared" si="3"/>
        <v>3.7594569162583782</v>
      </c>
      <c r="R54" s="13">
        <f>G54/(G53+G54)*100</f>
        <v>4.3906604965088532</v>
      </c>
      <c r="S54" s="10"/>
      <c r="T54" s="14"/>
      <c r="V54" s="12"/>
      <c r="W54" s="34"/>
    </row>
    <row r="55" spans="1:24" ht="18" x14ac:dyDescent="0.25">
      <c r="A55" s="36"/>
      <c r="B55" s="37"/>
      <c r="C55" s="37"/>
      <c r="D55" s="37"/>
      <c r="E55" s="38"/>
      <c r="F55" s="39" t="s">
        <v>2</v>
      </c>
      <c r="G55" s="40">
        <v>81.108000000000004</v>
      </c>
      <c r="H55" s="37">
        <v>50</v>
      </c>
      <c r="I55" s="37">
        <v>4</v>
      </c>
      <c r="J55" s="37">
        <v>10</v>
      </c>
      <c r="K55" s="37">
        <f t="shared" si="0"/>
        <v>0.05</v>
      </c>
      <c r="L55" s="37">
        <v>5</v>
      </c>
      <c r="M55" s="41">
        <f t="shared" si="19"/>
        <v>1.7762652E-3</v>
      </c>
      <c r="N55" s="42">
        <v>21.9</v>
      </c>
      <c r="O55" s="41">
        <f t="shared" si="1"/>
        <v>7.3667522692109313E-2</v>
      </c>
      <c r="P55" s="43">
        <f t="shared" si="2"/>
        <v>1.4733504538421862</v>
      </c>
      <c r="Q55" s="44">
        <f t="shared" si="3"/>
        <v>0.36833761346054655</v>
      </c>
      <c r="R55" s="45"/>
      <c r="S55" s="46"/>
      <c r="T55" s="47"/>
      <c r="V55" s="12"/>
      <c r="W55" s="34"/>
    </row>
    <row r="56" spans="1:24" ht="18" x14ac:dyDescent="0.25">
      <c r="A56" s="1"/>
      <c r="B56" s="1"/>
      <c r="C56" s="1"/>
      <c r="D56" s="1"/>
      <c r="E56" s="2"/>
      <c r="F56" s="3" t="s">
        <v>0</v>
      </c>
      <c r="G56" s="4">
        <v>90.254000000000005</v>
      </c>
      <c r="H56" s="1">
        <v>50</v>
      </c>
      <c r="I56" s="1">
        <v>4</v>
      </c>
      <c r="J56" s="1">
        <v>10</v>
      </c>
      <c r="K56" s="1">
        <f t="shared" si="0"/>
        <v>0.05</v>
      </c>
      <c r="L56" s="1">
        <v>5</v>
      </c>
      <c r="M56" s="5">
        <f>G56*N56/1000000</f>
        <v>1.9765626000000001E-3</v>
      </c>
      <c r="N56" s="6">
        <v>21.9</v>
      </c>
      <c r="O56" s="5">
        <f t="shared" si="1"/>
        <v>8.197451044352759E-2</v>
      </c>
      <c r="P56" s="7">
        <f t="shared" si="2"/>
        <v>1.6394902088705516</v>
      </c>
      <c r="Q56" s="8">
        <f t="shared" si="3"/>
        <v>0.40987255221763791</v>
      </c>
      <c r="R56" s="9"/>
      <c r="S56" s="10"/>
      <c r="T56" s="11"/>
      <c r="V56" s="12"/>
    </row>
    <row r="57" spans="1:24" x14ac:dyDescent="0.25">
      <c r="A57" s="1"/>
      <c r="B57" s="1"/>
      <c r="C57" s="1"/>
      <c r="D57" s="1"/>
      <c r="E57" s="2"/>
      <c r="F57" s="3" t="s">
        <v>1</v>
      </c>
      <c r="G57" s="4">
        <v>368.79</v>
      </c>
      <c r="H57" s="1">
        <v>50</v>
      </c>
      <c r="I57" s="1">
        <v>4</v>
      </c>
      <c r="J57" s="1">
        <v>10</v>
      </c>
      <c r="K57" s="1">
        <f t="shared" si="0"/>
        <v>0.05</v>
      </c>
      <c r="L57" s="1">
        <v>5</v>
      </c>
      <c r="M57" s="5">
        <f t="shared" ref="M57:M64" si="22">G57*N57/1000000</f>
        <v>8.0765009999999998E-3</v>
      </c>
      <c r="N57" s="6">
        <v>21.9</v>
      </c>
      <c r="O57" s="5">
        <f t="shared" si="1"/>
        <v>0.33495889053635891</v>
      </c>
      <c r="P57" s="7">
        <f t="shared" si="2"/>
        <v>6.6991778107271776</v>
      </c>
      <c r="Q57" s="8">
        <f t="shared" si="3"/>
        <v>1.6747944526817944</v>
      </c>
      <c r="R57" s="13">
        <f>G57/(G56+G57)*100</f>
        <v>80.338703915093106</v>
      </c>
      <c r="S57" s="10"/>
      <c r="T57" s="14"/>
      <c r="V57" s="12"/>
    </row>
    <row r="58" spans="1:24" ht="18" x14ac:dyDescent="0.25">
      <c r="A58" s="15"/>
      <c r="B58" s="1"/>
      <c r="C58" s="1"/>
      <c r="D58" s="1"/>
      <c r="E58" s="2"/>
      <c r="F58" s="3" t="s">
        <v>2</v>
      </c>
      <c r="G58" s="4">
        <v>0</v>
      </c>
      <c r="H58" s="1">
        <v>50</v>
      </c>
      <c r="I58" s="1">
        <v>4</v>
      </c>
      <c r="J58" s="1">
        <v>10</v>
      </c>
      <c r="K58" s="1">
        <f t="shared" si="0"/>
        <v>0.05</v>
      </c>
      <c r="L58" s="1">
        <v>5</v>
      </c>
      <c r="M58" s="5">
        <f t="shared" si="22"/>
        <v>0</v>
      </c>
      <c r="N58" s="6">
        <v>21.9</v>
      </c>
      <c r="O58" s="5">
        <f t="shared" si="1"/>
        <v>0</v>
      </c>
      <c r="P58" s="7">
        <f t="shared" si="2"/>
        <v>0</v>
      </c>
      <c r="Q58" s="8">
        <f t="shared" si="3"/>
        <v>0</v>
      </c>
      <c r="R58" s="13"/>
      <c r="S58" s="10"/>
      <c r="T58" s="14"/>
      <c r="V58" s="12"/>
    </row>
    <row r="59" spans="1:24" ht="18" x14ac:dyDescent="0.25">
      <c r="A59" s="16" t="s">
        <v>3</v>
      </c>
      <c r="B59" s="16" t="s">
        <v>44</v>
      </c>
      <c r="C59" s="16" t="s">
        <v>5</v>
      </c>
      <c r="D59" s="16"/>
      <c r="E59" s="17" t="s">
        <v>36</v>
      </c>
      <c r="F59" s="18" t="s">
        <v>0</v>
      </c>
      <c r="G59" s="19">
        <v>103.80200000000001</v>
      </c>
      <c r="H59" s="16">
        <v>50</v>
      </c>
      <c r="I59" s="16">
        <v>4</v>
      </c>
      <c r="J59" s="16">
        <v>10</v>
      </c>
      <c r="K59" s="16">
        <f t="shared" si="0"/>
        <v>0.05</v>
      </c>
      <c r="L59" s="16">
        <v>5</v>
      </c>
      <c r="M59" s="20">
        <f t="shared" si="22"/>
        <v>2.2732638E-3</v>
      </c>
      <c r="N59" s="21">
        <v>21.9</v>
      </c>
      <c r="O59" s="20">
        <f t="shared" si="1"/>
        <v>9.4279678829293445E-2</v>
      </c>
      <c r="P59" s="22">
        <f t="shared" si="2"/>
        <v>1.8855935765858689</v>
      </c>
      <c r="Q59" s="23">
        <f t="shared" si="3"/>
        <v>0.47139839414646723</v>
      </c>
      <c r="R59" s="24"/>
      <c r="S59" s="25"/>
      <c r="T59" s="26"/>
      <c r="U59" s="27" t="s">
        <v>0</v>
      </c>
      <c r="V59" s="28">
        <f>AVERAGE(G56,G59,G62)</f>
        <v>96.930666666666681</v>
      </c>
      <c r="W59" s="29">
        <f>AVERAGE(P56,P59,P62)</f>
        <v>1.7607738043665115</v>
      </c>
      <c r="X59" s="29">
        <f>AVERAGE(Q56,Q59,Q62)</f>
        <v>0.44019345109162789</v>
      </c>
    </row>
    <row r="60" spans="1:24" x14ac:dyDescent="0.25">
      <c r="A60" s="16" t="s">
        <v>7</v>
      </c>
      <c r="B60" s="16" t="s">
        <v>8</v>
      </c>
      <c r="C60" s="16" t="s">
        <v>9</v>
      </c>
      <c r="D60" s="16"/>
      <c r="E60" s="30"/>
      <c r="F60" s="18" t="s">
        <v>1</v>
      </c>
      <c r="G60" s="19">
        <v>384.43</v>
      </c>
      <c r="H60" s="16">
        <v>50</v>
      </c>
      <c r="I60" s="16">
        <v>4</v>
      </c>
      <c r="J60" s="16">
        <v>10</v>
      </c>
      <c r="K60" s="16">
        <f t="shared" si="0"/>
        <v>0.05</v>
      </c>
      <c r="L60" s="16">
        <v>5</v>
      </c>
      <c r="M60" s="20">
        <f t="shared" si="22"/>
        <v>8.4190169999999991E-3</v>
      </c>
      <c r="N60" s="21">
        <v>21.9</v>
      </c>
      <c r="O60" s="20">
        <f t="shared" si="1"/>
        <v>0.34916414840123761</v>
      </c>
      <c r="P60" s="22">
        <f t="shared" si="2"/>
        <v>6.9832829680247519</v>
      </c>
      <c r="Q60" s="23">
        <f t="shared" si="3"/>
        <v>1.745820742006188</v>
      </c>
      <c r="R60" s="31">
        <f>G60/(G59+G60)*100</f>
        <v>78.739205951269071</v>
      </c>
      <c r="S60" s="25"/>
      <c r="T60" s="26"/>
      <c r="U60" s="27" t="s">
        <v>1</v>
      </c>
      <c r="V60" s="28">
        <f t="shared" ref="V60:V61" si="23">AVERAGE(G57,G60,G63)</f>
        <v>357.88533333333334</v>
      </c>
      <c r="W60" s="29">
        <f t="shared" ref="W60:X61" si="24">AVERAGE(P57,P60,P63)</f>
        <v>6.5010913632456564</v>
      </c>
      <c r="X60" s="29">
        <f t="shared" si="24"/>
        <v>1.6252728408114141</v>
      </c>
    </row>
    <row r="61" spans="1:24" ht="18" x14ac:dyDescent="0.25">
      <c r="A61" s="32" t="s">
        <v>45</v>
      </c>
      <c r="B61" s="16"/>
      <c r="C61" s="16"/>
      <c r="D61" s="16"/>
      <c r="E61" s="17"/>
      <c r="F61" s="18" t="s">
        <v>2</v>
      </c>
      <c r="G61" s="19">
        <v>0</v>
      </c>
      <c r="H61" s="16">
        <v>50</v>
      </c>
      <c r="I61" s="16">
        <v>4</v>
      </c>
      <c r="J61" s="16">
        <v>10</v>
      </c>
      <c r="K61" s="16">
        <f t="shared" si="0"/>
        <v>0.05</v>
      </c>
      <c r="L61" s="16">
        <v>5</v>
      </c>
      <c r="M61" s="20">
        <f t="shared" si="22"/>
        <v>0</v>
      </c>
      <c r="N61" s="21">
        <v>21.9</v>
      </c>
      <c r="O61" s="20">
        <f t="shared" si="1"/>
        <v>0</v>
      </c>
      <c r="P61" s="22">
        <f t="shared" si="2"/>
        <v>0</v>
      </c>
      <c r="Q61" s="23">
        <f t="shared" si="3"/>
        <v>0</v>
      </c>
      <c r="R61" s="31"/>
      <c r="S61" s="25"/>
      <c r="T61" s="26"/>
      <c r="U61" s="27" t="s">
        <v>2</v>
      </c>
      <c r="V61" s="28">
        <f t="shared" si="23"/>
        <v>0</v>
      </c>
      <c r="W61" s="29">
        <f t="shared" si="24"/>
        <v>0</v>
      </c>
      <c r="X61" s="29">
        <f t="shared" si="24"/>
        <v>0</v>
      </c>
    </row>
    <row r="62" spans="1:24" ht="18" x14ac:dyDescent="0.25">
      <c r="A62" s="1"/>
      <c r="B62" s="1"/>
      <c r="C62" s="1"/>
      <c r="D62" s="1"/>
      <c r="E62" s="2"/>
      <c r="F62" s="3" t="s">
        <v>0</v>
      </c>
      <c r="G62" s="33">
        <v>96.736000000000004</v>
      </c>
      <c r="H62" s="1">
        <v>50</v>
      </c>
      <c r="I62" s="1">
        <v>4</v>
      </c>
      <c r="J62" s="1">
        <v>10</v>
      </c>
      <c r="K62" s="1">
        <f t="shared" si="0"/>
        <v>0.05</v>
      </c>
      <c r="L62" s="1">
        <v>5</v>
      </c>
      <c r="M62" s="5">
        <f t="shared" si="22"/>
        <v>2.1185183999999999E-3</v>
      </c>
      <c r="N62" s="6">
        <v>21.9</v>
      </c>
      <c r="O62" s="5">
        <f t="shared" si="1"/>
        <v>8.786188138215574E-2</v>
      </c>
      <c r="P62" s="7">
        <f t="shared" si="2"/>
        <v>1.7572376276431148</v>
      </c>
      <c r="Q62" s="8">
        <f t="shared" si="3"/>
        <v>0.43930940691077869</v>
      </c>
      <c r="R62" s="9"/>
      <c r="S62" s="10"/>
      <c r="T62" s="14"/>
      <c r="V62" s="12"/>
      <c r="W62" s="34"/>
    </row>
    <row r="63" spans="1:24" x14ac:dyDescent="0.25">
      <c r="A63" s="1"/>
      <c r="B63" s="1"/>
      <c r="C63" s="1"/>
      <c r="D63" s="1"/>
      <c r="E63" s="35"/>
      <c r="F63" s="3" t="s">
        <v>1</v>
      </c>
      <c r="G63" s="33">
        <v>320.43599999999998</v>
      </c>
      <c r="H63" s="1">
        <v>50</v>
      </c>
      <c r="I63" s="1">
        <v>4</v>
      </c>
      <c r="J63" s="1">
        <v>10</v>
      </c>
      <c r="K63" s="1">
        <f t="shared" si="0"/>
        <v>0.05</v>
      </c>
      <c r="L63" s="1">
        <v>5</v>
      </c>
      <c r="M63" s="5">
        <f t="shared" si="22"/>
        <v>7.0175483999999986E-3</v>
      </c>
      <c r="N63" s="6">
        <v>21.9</v>
      </c>
      <c r="O63" s="5">
        <f t="shared" si="1"/>
        <v>0.29104066554925206</v>
      </c>
      <c r="P63" s="7">
        <f t="shared" si="2"/>
        <v>5.8208133109850406</v>
      </c>
      <c r="Q63" s="8">
        <f t="shared" si="3"/>
        <v>1.4552033277462602</v>
      </c>
      <c r="R63" s="13">
        <f>G63/(G62+G63)*100</f>
        <v>76.811483033377129</v>
      </c>
      <c r="S63" s="10"/>
      <c r="T63" s="14"/>
      <c r="V63" s="12"/>
      <c r="W63" s="34"/>
    </row>
    <row r="64" spans="1:24" ht="18" x14ac:dyDescent="0.25">
      <c r="A64" s="36"/>
      <c r="B64" s="37"/>
      <c r="C64" s="37"/>
      <c r="D64" s="37"/>
      <c r="E64" s="38"/>
      <c r="F64" s="39" t="s">
        <v>2</v>
      </c>
      <c r="G64" s="40">
        <v>0</v>
      </c>
      <c r="H64" s="37">
        <v>50</v>
      </c>
      <c r="I64" s="37">
        <v>4</v>
      </c>
      <c r="J64" s="37">
        <v>10</v>
      </c>
      <c r="K64" s="37">
        <f t="shared" si="0"/>
        <v>0.05</v>
      </c>
      <c r="L64" s="37">
        <v>5</v>
      </c>
      <c r="M64" s="41">
        <f t="shared" si="22"/>
        <v>0</v>
      </c>
      <c r="N64" s="42">
        <v>21.9</v>
      </c>
      <c r="O64" s="41">
        <f t="shared" si="1"/>
        <v>0</v>
      </c>
      <c r="P64" s="43">
        <f t="shared" si="2"/>
        <v>0</v>
      </c>
      <c r="Q64" s="44">
        <f t="shared" si="3"/>
        <v>0</v>
      </c>
      <c r="R64" s="45"/>
      <c r="S64" s="46"/>
      <c r="T64" s="47"/>
      <c r="V64" s="12"/>
      <c r="W64" s="34"/>
    </row>
    <row r="65" spans="1:24" ht="18" x14ac:dyDescent="0.25">
      <c r="A65" s="1"/>
      <c r="B65" s="1"/>
      <c r="C65" s="1"/>
      <c r="D65" s="1"/>
      <c r="E65" s="2"/>
      <c r="F65" s="3" t="s">
        <v>0</v>
      </c>
      <c r="G65" s="4">
        <v>5453.8689999999997</v>
      </c>
      <c r="H65" s="1">
        <v>50</v>
      </c>
      <c r="I65" s="1">
        <v>4</v>
      </c>
      <c r="J65" s="1">
        <v>10</v>
      </c>
      <c r="K65" s="1">
        <f t="shared" si="0"/>
        <v>0.05</v>
      </c>
      <c r="L65" s="1">
        <v>5</v>
      </c>
      <c r="M65" s="5">
        <f>G65*N65/1000000</f>
        <v>0.11943973109999999</v>
      </c>
      <c r="N65" s="6">
        <v>21.9</v>
      </c>
      <c r="O65" s="5">
        <f t="shared" si="1"/>
        <v>4.9535559786616803</v>
      </c>
      <c r="P65" s="7">
        <f t="shared" si="2"/>
        <v>99.071119573233602</v>
      </c>
      <c r="Q65" s="8">
        <f t="shared" si="3"/>
        <v>24.767779893308401</v>
      </c>
      <c r="R65" s="9"/>
      <c r="S65" s="10"/>
      <c r="T65" s="11"/>
      <c r="V65" s="12"/>
    </row>
    <row r="66" spans="1:24" x14ac:dyDescent="0.25">
      <c r="A66" s="1"/>
      <c r="B66" s="1"/>
      <c r="C66" s="1"/>
      <c r="D66" s="1"/>
      <c r="E66" s="2"/>
      <c r="F66" s="3" t="s">
        <v>1</v>
      </c>
      <c r="G66" s="4">
        <v>77.272999999999996</v>
      </c>
      <c r="H66" s="1">
        <v>50</v>
      </c>
      <c r="I66" s="1">
        <v>4</v>
      </c>
      <c r="J66" s="1">
        <v>10</v>
      </c>
      <c r="K66" s="1">
        <f t="shared" ref="K66:K109" si="25">(J66*(L66*0.001))</f>
        <v>0.05</v>
      </c>
      <c r="L66" s="1">
        <v>5</v>
      </c>
      <c r="M66" s="5">
        <f t="shared" ref="M66:M73" si="26">G66*N66/1000000</f>
        <v>1.6922786999999998E-3</v>
      </c>
      <c r="N66" s="6">
        <v>21.9</v>
      </c>
      <c r="O66" s="5">
        <f t="shared" ref="O66:O109" si="27">(101325*(M66*0.000001))/(8.31*294)*1000000</f>
        <v>7.0184328068592039E-2</v>
      </c>
      <c r="P66" s="7">
        <f t="shared" ref="P66:P109" si="28">O66/K66</f>
        <v>1.4036865613718408</v>
      </c>
      <c r="Q66" s="8">
        <f t="shared" ref="Q66:Q109" si="29">P66/I66</f>
        <v>0.35092164034296019</v>
      </c>
      <c r="R66" s="13">
        <f>G66/(G65+G66)*100</f>
        <v>1.3970532667575701</v>
      </c>
      <c r="S66" s="10"/>
      <c r="T66" s="14"/>
      <c r="V66" s="12"/>
    </row>
    <row r="67" spans="1:24" ht="18" x14ac:dyDescent="0.25">
      <c r="A67" s="15"/>
      <c r="B67" s="1"/>
      <c r="C67" s="1"/>
      <c r="D67" s="1"/>
      <c r="E67" s="2"/>
      <c r="F67" s="3" t="s">
        <v>2</v>
      </c>
      <c r="G67" s="4">
        <v>0</v>
      </c>
      <c r="H67" s="1">
        <v>50</v>
      </c>
      <c r="I67" s="1">
        <v>4</v>
      </c>
      <c r="J67" s="1">
        <v>10</v>
      </c>
      <c r="K67" s="1">
        <f t="shared" si="25"/>
        <v>0.05</v>
      </c>
      <c r="L67" s="1">
        <v>5</v>
      </c>
      <c r="M67" s="5">
        <f t="shared" si="26"/>
        <v>0</v>
      </c>
      <c r="N67" s="6">
        <v>21.9</v>
      </c>
      <c r="O67" s="5">
        <f t="shared" si="27"/>
        <v>0</v>
      </c>
      <c r="P67" s="7">
        <f t="shared" si="28"/>
        <v>0</v>
      </c>
      <c r="Q67" s="8">
        <f t="shared" si="29"/>
        <v>0</v>
      </c>
      <c r="R67" s="13"/>
      <c r="S67" s="10"/>
      <c r="T67" s="14"/>
      <c r="V67" s="12"/>
    </row>
    <row r="68" spans="1:24" ht="18" x14ac:dyDescent="0.25">
      <c r="A68" s="16" t="s">
        <v>3</v>
      </c>
      <c r="B68" s="16" t="s">
        <v>44</v>
      </c>
      <c r="C68" s="16" t="s">
        <v>5</v>
      </c>
      <c r="D68" s="16"/>
      <c r="E68" s="17" t="s">
        <v>6</v>
      </c>
      <c r="F68" s="18" t="s">
        <v>0</v>
      </c>
      <c r="G68" s="19">
        <v>5282.402</v>
      </c>
      <c r="H68" s="16">
        <v>50</v>
      </c>
      <c r="I68" s="16">
        <v>4</v>
      </c>
      <c r="J68" s="16">
        <v>10</v>
      </c>
      <c r="K68" s="16">
        <f t="shared" si="25"/>
        <v>0.05</v>
      </c>
      <c r="L68" s="16">
        <v>5</v>
      </c>
      <c r="M68" s="20">
        <f t="shared" si="26"/>
        <v>0.11568460379999999</v>
      </c>
      <c r="N68" s="21">
        <v>21.9</v>
      </c>
      <c r="O68" s="20">
        <f t="shared" si="27"/>
        <v>4.7978185777462601</v>
      </c>
      <c r="P68" s="22">
        <f t="shared" si="28"/>
        <v>95.956371554925198</v>
      </c>
      <c r="Q68" s="23">
        <f t="shared" si="29"/>
        <v>23.9890928887313</v>
      </c>
      <c r="R68" s="24"/>
      <c r="S68" s="25"/>
      <c r="T68" s="26"/>
      <c r="U68" s="27" t="s">
        <v>0</v>
      </c>
      <c r="V68" s="28">
        <f>AVERAGE(G65,G68,G71)</f>
        <v>5214.9896666666673</v>
      </c>
      <c r="W68" s="29">
        <f>AVERAGE(P65,P68,P71)</f>
        <v>94.731806876826525</v>
      </c>
      <c r="X68" s="29">
        <f>AVERAGE(Q65,Q68,Q71)</f>
        <v>23.682951719206631</v>
      </c>
    </row>
    <row r="69" spans="1:24" x14ac:dyDescent="0.25">
      <c r="A69" s="16" t="s">
        <v>7</v>
      </c>
      <c r="B69" s="16" t="s">
        <v>8</v>
      </c>
      <c r="C69" s="16" t="s">
        <v>9</v>
      </c>
      <c r="D69" s="16"/>
      <c r="E69" s="30" t="s">
        <v>10</v>
      </c>
      <c r="F69" s="18" t="s">
        <v>1</v>
      </c>
      <c r="G69" s="19">
        <v>91.21</v>
      </c>
      <c r="H69" s="16">
        <v>50</v>
      </c>
      <c r="I69" s="16">
        <v>4</v>
      </c>
      <c r="J69" s="16">
        <v>10</v>
      </c>
      <c r="K69" s="16">
        <f t="shared" si="25"/>
        <v>0.05</v>
      </c>
      <c r="L69" s="16">
        <v>5</v>
      </c>
      <c r="M69" s="20">
        <f t="shared" si="26"/>
        <v>1.9974989999999998E-3</v>
      </c>
      <c r="N69" s="21">
        <v>21.9</v>
      </c>
      <c r="O69" s="20">
        <f t="shared" si="27"/>
        <v>8.284281137184113E-2</v>
      </c>
      <c r="P69" s="22">
        <f t="shared" si="28"/>
        <v>1.6568562274368226</v>
      </c>
      <c r="Q69" s="23">
        <f t="shared" si="29"/>
        <v>0.41421405685920565</v>
      </c>
      <c r="R69" s="31">
        <f>G69/(G68+G69)*100</f>
        <v>1.6973685483804932</v>
      </c>
      <c r="S69" s="25"/>
      <c r="T69" s="26"/>
      <c r="U69" s="27" t="s">
        <v>1</v>
      </c>
      <c r="V69" s="28">
        <f t="shared" ref="V69:V70" si="30">AVERAGE(G66,G69,G72)</f>
        <v>81.813333333333333</v>
      </c>
      <c r="W69" s="29">
        <f t="shared" ref="W69:X70" si="31">AVERAGE(P66,P69,P72)</f>
        <v>1.486163039367371</v>
      </c>
      <c r="X69" s="29">
        <f t="shared" si="31"/>
        <v>0.37154075984184276</v>
      </c>
    </row>
    <row r="70" spans="1:24" ht="18" x14ac:dyDescent="0.25">
      <c r="A70" s="32" t="s">
        <v>46</v>
      </c>
      <c r="B70" s="16"/>
      <c r="C70" s="16"/>
      <c r="D70" s="16"/>
      <c r="E70" s="17"/>
      <c r="F70" s="18" t="s">
        <v>2</v>
      </c>
      <c r="G70" s="19">
        <v>0</v>
      </c>
      <c r="H70" s="16">
        <v>50</v>
      </c>
      <c r="I70" s="16">
        <v>4</v>
      </c>
      <c r="J70" s="16">
        <v>10</v>
      </c>
      <c r="K70" s="16">
        <f t="shared" si="25"/>
        <v>0.05</v>
      </c>
      <c r="L70" s="16">
        <v>5</v>
      </c>
      <c r="M70" s="20">
        <f t="shared" si="26"/>
        <v>0</v>
      </c>
      <c r="N70" s="21">
        <v>21.9</v>
      </c>
      <c r="O70" s="20">
        <f t="shared" si="27"/>
        <v>0</v>
      </c>
      <c r="P70" s="22">
        <f t="shared" si="28"/>
        <v>0</v>
      </c>
      <c r="Q70" s="23">
        <f t="shared" si="29"/>
        <v>0</v>
      </c>
      <c r="R70" s="31"/>
      <c r="S70" s="25"/>
      <c r="T70" s="26"/>
      <c r="U70" s="27" t="s">
        <v>2</v>
      </c>
      <c r="V70" s="28">
        <f t="shared" si="30"/>
        <v>0</v>
      </c>
      <c r="W70" s="29">
        <f t="shared" si="31"/>
        <v>0</v>
      </c>
      <c r="X70" s="29">
        <f t="shared" si="31"/>
        <v>0</v>
      </c>
    </row>
    <row r="71" spans="1:24" ht="18" x14ac:dyDescent="0.25">
      <c r="A71" s="1"/>
      <c r="B71" s="1"/>
      <c r="C71" s="1"/>
      <c r="D71" s="1"/>
      <c r="E71" s="2"/>
      <c r="F71" s="3" t="s">
        <v>0</v>
      </c>
      <c r="G71" s="33">
        <v>4908.6980000000003</v>
      </c>
      <c r="H71" s="1">
        <v>50</v>
      </c>
      <c r="I71" s="1">
        <v>4</v>
      </c>
      <c r="J71" s="1">
        <v>10</v>
      </c>
      <c r="K71" s="1">
        <f t="shared" si="25"/>
        <v>0.05</v>
      </c>
      <c r="L71" s="1">
        <v>5</v>
      </c>
      <c r="M71" s="5">
        <f t="shared" si="26"/>
        <v>0.10750048619999999</v>
      </c>
      <c r="N71" s="6">
        <v>21.9</v>
      </c>
      <c r="O71" s="5">
        <f t="shared" si="27"/>
        <v>4.4583964751160385</v>
      </c>
      <c r="P71" s="7">
        <f t="shared" si="28"/>
        <v>89.16792950232076</v>
      </c>
      <c r="Q71" s="8">
        <f t="shared" si="29"/>
        <v>22.29198237558019</v>
      </c>
      <c r="R71" s="9"/>
      <c r="S71" s="10"/>
      <c r="T71" s="14"/>
      <c r="V71" s="12"/>
      <c r="W71" s="34"/>
    </row>
    <row r="72" spans="1:24" x14ac:dyDescent="0.25">
      <c r="A72" s="1"/>
      <c r="B72" s="1"/>
      <c r="C72" s="1"/>
      <c r="D72" s="1"/>
      <c r="E72" s="35"/>
      <c r="F72" s="3" t="s">
        <v>1</v>
      </c>
      <c r="G72" s="33">
        <v>76.956999999999994</v>
      </c>
      <c r="H72" s="1">
        <v>50</v>
      </c>
      <c r="I72" s="1">
        <v>4</v>
      </c>
      <c r="J72" s="1">
        <v>10</v>
      </c>
      <c r="K72" s="1">
        <f t="shared" si="25"/>
        <v>0.05</v>
      </c>
      <c r="L72" s="1">
        <v>5</v>
      </c>
      <c r="M72" s="5">
        <f t="shared" si="26"/>
        <v>1.6853582999999998E-3</v>
      </c>
      <c r="N72" s="6">
        <v>21.9</v>
      </c>
      <c r="O72" s="5">
        <f t="shared" si="27"/>
        <v>6.9897316464672496E-2</v>
      </c>
      <c r="P72" s="7">
        <f t="shared" si="28"/>
        <v>1.3979463292934498</v>
      </c>
      <c r="Q72" s="8">
        <f t="shared" si="29"/>
        <v>0.34948658232336244</v>
      </c>
      <c r="R72" s="13">
        <f>G72/(G71+G72)*100</f>
        <v>1.5435684980208215</v>
      </c>
      <c r="S72" s="10"/>
      <c r="T72" s="14"/>
      <c r="V72" s="12"/>
      <c r="W72" s="34"/>
    </row>
    <row r="73" spans="1:24" ht="18" x14ac:dyDescent="0.25">
      <c r="A73" s="36"/>
      <c r="B73" s="37"/>
      <c r="C73" s="37"/>
      <c r="D73" s="37"/>
      <c r="E73" s="38"/>
      <c r="F73" s="39" t="s">
        <v>2</v>
      </c>
      <c r="G73" s="40">
        <v>0</v>
      </c>
      <c r="H73" s="37">
        <v>50</v>
      </c>
      <c r="I73" s="37">
        <v>4</v>
      </c>
      <c r="J73" s="37">
        <v>10</v>
      </c>
      <c r="K73" s="37">
        <f t="shared" si="25"/>
        <v>0.05</v>
      </c>
      <c r="L73" s="37">
        <v>5</v>
      </c>
      <c r="M73" s="41">
        <f t="shared" si="26"/>
        <v>0</v>
      </c>
      <c r="N73" s="42">
        <v>21.9</v>
      </c>
      <c r="O73" s="41">
        <f t="shared" si="27"/>
        <v>0</v>
      </c>
      <c r="P73" s="43">
        <f t="shared" si="28"/>
        <v>0</v>
      </c>
      <c r="Q73" s="44">
        <f t="shared" si="29"/>
        <v>0</v>
      </c>
      <c r="R73" s="45"/>
      <c r="S73" s="46"/>
      <c r="T73" s="47"/>
      <c r="V73" s="12"/>
      <c r="W73" s="34"/>
    </row>
    <row r="74" spans="1:24" ht="18" x14ac:dyDescent="0.25">
      <c r="A74" s="1"/>
      <c r="B74" s="1"/>
      <c r="C74" s="1"/>
      <c r="D74" s="1"/>
      <c r="E74" s="2"/>
      <c r="F74" s="3" t="s">
        <v>0</v>
      </c>
      <c r="G74" s="4">
        <v>54.529000000000003</v>
      </c>
      <c r="H74" s="1">
        <v>50</v>
      </c>
      <c r="I74" s="1">
        <v>4</v>
      </c>
      <c r="J74" s="1">
        <v>10</v>
      </c>
      <c r="K74" s="1">
        <f t="shared" si="25"/>
        <v>0.05</v>
      </c>
      <c r="L74" s="1">
        <v>5</v>
      </c>
      <c r="M74" s="5">
        <f>G74*N74/1000000</f>
        <v>1.1941851E-3</v>
      </c>
      <c r="N74" s="6">
        <v>21.9</v>
      </c>
      <c r="O74" s="5">
        <f t="shared" si="27"/>
        <v>4.9526758702939648E-2</v>
      </c>
      <c r="P74" s="7">
        <f t="shared" si="28"/>
        <v>0.99053517405879288</v>
      </c>
      <c r="Q74" s="8">
        <f t="shared" si="29"/>
        <v>0.24763379351469822</v>
      </c>
      <c r="R74" s="9"/>
      <c r="S74" s="10"/>
      <c r="T74" s="11"/>
      <c r="V74" s="12"/>
    </row>
    <row r="75" spans="1:24" x14ac:dyDescent="0.25">
      <c r="A75" s="1"/>
      <c r="B75" s="1"/>
      <c r="C75" s="1"/>
      <c r="D75" s="1"/>
      <c r="E75" s="2"/>
      <c r="F75" s="3" t="s">
        <v>1</v>
      </c>
      <c r="G75" s="4">
        <v>142.917</v>
      </c>
      <c r="H75" s="1">
        <v>50</v>
      </c>
      <c r="I75" s="1">
        <v>4</v>
      </c>
      <c r="J75" s="1">
        <v>10</v>
      </c>
      <c r="K75" s="1">
        <f t="shared" si="25"/>
        <v>0.05</v>
      </c>
      <c r="L75" s="1">
        <v>5</v>
      </c>
      <c r="M75" s="5">
        <f t="shared" ref="M75:M82" si="32">G75*N75/1000000</f>
        <v>3.1298822999999997E-3</v>
      </c>
      <c r="N75" s="6">
        <v>21.9</v>
      </c>
      <c r="O75" s="5">
        <f t="shared" si="27"/>
        <v>0.12980644746003089</v>
      </c>
      <c r="P75" s="7">
        <f t="shared" si="28"/>
        <v>2.5961289492006179</v>
      </c>
      <c r="Q75" s="8">
        <f t="shared" si="29"/>
        <v>0.64903223730015447</v>
      </c>
      <c r="R75" s="13">
        <f>G75/(G74+G75)*100</f>
        <v>72.382828722790023</v>
      </c>
      <c r="S75" s="10"/>
      <c r="T75" s="14"/>
      <c r="V75" s="12"/>
    </row>
    <row r="76" spans="1:24" ht="18" x14ac:dyDescent="0.25">
      <c r="A76" s="15"/>
      <c r="B76" s="1"/>
      <c r="C76" s="1"/>
      <c r="D76" s="1"/>
      <c r="E76" s="2"/>
      <c r="F76" s="3" t="s">
        <v>2</v>
      </c>
      <c r="G76" s="4">
        <v>0</v>
      </c>
      <c r="H76" s="1">
        <v>50</v>
      </c>
      <c r="I76" s="1">
        <v>4</v>
      </c>
      <c r="J76" s="1">
        <v>10</v>
      </c>
      <c r="K76" s="1">
        <f t="shared" si="25"/>
        <v>0.05</v>
      </c>
      <c r="L76" s="1">
        <v>5</v>
      </c>
      <c r="M76" s="5">
        <f t="shared" si="32"/>
        <v>0</v>
      </c>
      <c r="N76" s="6">
        <v>21.9</v>
      </c>
      <c r="O76" s="5">
        <f t="shared" si="27"/>
        <v>0</v>
      </c>
      <c r="P76" s="7">
        <f t="shared" si="28"/>
        <v>0</v>
      </c>
      <c r="Q76" s="8">
        <f t="shared" si="29"/>
        <v>0</v>
      </c>
      <c r="R76" s="13"/>
      <c r="S76" s="10"/>
      <c r="T76" s="14"/>
      <c r="V76" s="12"/>
    </row>
    <row r="77" spans="1:24" ht="18" x14ac:dyDescent="0.25">
      <c r="A77" s="16" t="s">
        <v>3</v>
      </c>
      <c r="B77" s="16" t="s">
        <v>47</v>
      </c>
      <c r="C77" s="16" t="s">
        <v>5</v>
      </c>
      <c r="D77" s="16"/>
      <c r="E77" s="17" t="s">
        <v>36</v>
      </c>
      <c r="F77" s="18" t="s">
        <v>0</v>
      </c>
      <c r="G77" s="19">
        <v>56.783999999999999</v>
      </c>
      <c r="H77" s="16">
        <v>50</v>
      </c>
      <c r="I77" s="16">
        <v>4</v>
      </c>
      <c r="J77" s="16">
        <v>10</v>
      </c>
      <c r="K77" s="16">
        <f t="shared" si="25"/>
        <v>0.05</v>
      </c>
      <c r="L77" s="16">
        <v>5</v>
      </c>
      <c r="M77" s="20">
        <f t="shared" si="32"/>
        <v>1.2435695999999999E-3</v>
      </c>
      <c r="N77" s="21">
        <v>21.9</v>
      </c>
      <c r="O77" s="20">
        <f t="shared" si="27"/>
        <v>5.1574895306859207E-2</v>
      </c>
      <c r="P77" s="22">
        <f t="shared" si="28"/>
        <v>1.0314979061371841</v>
      </c>
      <c r="Q77" s="23">
        <f t="shared" si="29"/>
        <v>0.25787447653429602</v>
      </c>
      <c r="R77" s="24"/>
      <c r="S77" s="25"/>
      <c r="T77" s="26"/>
      <c r="U77" s="27" t="s">
        <v>0</v>
      </c>
      <c r="V77" s="28">
        <f>AVERAGE(G74,G77,G80)</f>
        <v>56.753999999999998</v>
      </c>
      <c r="W77" s="29">
        <f>AVERAGE(P74,P77,P80)</f>
        <v>1.0309529473955645</v>
      </c>
      <c r="X77" s="29">
        <f>AVERAGE(Q74,Q77,Q80)</f>
        <v>0.25773823684889113</v>
      </c>
    </row>
    <row r="78" spans="1:24" x14ac:dyDescent="0.25">
      <c r="A78" s="16" t="s">
        <v>7</v>
      </c>
      <c r="B78" s="16" t="s">
        <v>8</v>
      </c>
      <c r="C78" s="16" t="s">
        <v>9</v>
      </c>
      <c r="D78" s="16"/>
      <c r="E78" s="30"/>
      <c r="F78" s="18" t="s">
        <v>1</v>
      </c>
      <c r="G78" s="19">
        <v>144.602</v>
      </c>
      <c r="H78" s="16">
        <v>50</v>
      </c>
      <c r="I78" s="16">
        <v>4</v>
      </c>
      <c r="J78" s="16">
        <v>10</v>
      </c>
      <c r="K78" s="16">
        <f t="shared" si="25"/>
        <v>0.05</v>
      </c>
      <c r="L78" s="16">
        <v>5</v>
      </c>
      <c r="M78" s="20">
        <f t="shared" si="32"/>
        <v>3.1667837999999997E-3</v>
      </c>
      <c r="N78" s="21">
        <v>21.9</v>
      </c>
      <c r="O78" s="20">
        <f t="shared" si="27"/>
        <v>0.13133687325941204</v>
      </c>
      <c r="P78" s="22">
        <f t="shared" si="28"/>
        <v>2.6267374651882407</v>
      </c>
      <c r="Q78" s="23">
        <f t="shared" si="29"/>
        <v>0.65668436629706017</v>
      </c>
      <c r="R78" s="31">
        <f>G78/(G77+G78)*100</f>
        <v>71.803402421220937</v>
      </c>
      <c r="S78" s="25"/>
      <c r="T78" s="26"/>
      <c r="U78" s="27" t="s">
        <v>1</v>
      </c>
      <c r="V78" s="28">
        <f t="shared" ref="V78:V79" si="33">AVERAGE(G75,G78,G81)</f>
        <v>143.81366666666668</v>
      </c>
      <c r="W78" s="29">
        <f t="shared" ref="W78:X79" si="34">AVERAGE(P75,P78,P81)</f>
        <v>2.612417160477909</v>
      </c>
      <c r="X78" s="29">
        <f t="shared" si="34"/>
        <v>0.65310429011947724</v>
      </c>
    </row>
    <row r="79" spans="1:24" ht="18" x14ac:dyDescent="0.25">
      <c r="A79" s="32" t="s">
        <v>48</v>
      </c>
      <c r="B79" s="16"/>
      <c r="C79" s="16"/>
      <c r="D79" s="16"/>
      <c r="E79" s="17"/>
      <c r="F79" s="18" t="s">
        <v>2</v>
      </c>
      <c r="G79" s="19">
        <v>0</v>
      </c>
      <c r="H79" s="16">
        <v>50</v>
      </c>
      <c r="I79" s="16">
        <v>4</v>
      </c>
      <c r="J79" s="16">
        <v>10</v>
      </c>
      <c r="K79" s="16">
        <f t="shared" si="25"/>
        <v>0.05</v>
      </c>
      <c r="L79" s="16">
        <v>5</v>
      </c>
      <c r="M79" s="20">
        <f t="shared" si="32"/>
        <v>0</v>
      </c>
      <c r="N79" s="21">
        <v>21.9</v>
      </c>
      <c r="O79" s="20">
        <f t="shared" si="27"/>
        <v>0</v>
      </c>
      <c r="P79" s="22">
        <f t="shared" si="28"/>
        <v>0</v>
      </c>
      <c r="Q79" s="23">
        <f t="shared" si="29"/>
        <v>0</v>
      </c>
      <c r="R79" s="31"/>
      <c r="S79" s="25"/>
      <c r="T79" s="26"/>
      <c r="U79" s="27" t="s">
        <v>2</v>
      </c>
      <c r="V79" s="28">
        <f t="shared" si="33"/>
        <v>0</v>
      </c>
      <c r="W79" s="29">
        <f t="shared" si="34"/>
        <v>0</v>
      </c>
      <c r="X79" s="29">
        <f t="shared" si="34"/>
        <v>0</v>
      </c>
    </row>
    <row r="80" spans="1:24" ht="18" x14ac:dyDescent="0.25">
      <c r="A80" s="1"/>
      <c r="B80" s="1"/>
      <c r="C80" s="1"/>
      <c r="D80" s="1"/>
      <c r="E80" s="2"/>
      <c r="F80" s="3" t="s">
        <v>0</v>
      </c>
      <c r="G80" s="33">
        <v>58.948999999999998</v>
      </c>
      <c r="H80" s="1">
        <v>50</v>
      </c>
      <c r="I80" s="1">
        <v>4</v>
      </c>
      <c r="J80" s="1">
        <v>10</v>
      </c>
      <c r="K80" s="1">
        <f t="shared" si="25"/>
        <v>0.05</v>
      </c>
      <c r="L80" s="1">
        <v>5</v>
      </c>
      <c r="M80" s="5">
        <f t="shared" si="32"/>
        <v>1.2909830999999999E-3</v>
      </c>
      <c r="N80" s="6">
        <v>21.9</v>
      </c>
      <c r="O80" s="5">
        <f t="shared" si="27"/>
        <v>5.3541288099535823E-2</v>
      </c>
      <c r="P80" s="7">
        <f t="shared" si="28"/>
        <v>1.0708257619907164</v>
      </c>
      <c r="Q80" s="8">
        <f t="shared" si="29"/>
        <v>0.26770644049767911</v>
      </c>
      <c r="R80" s="9"/>
      <c r="S80" s="10"/>
      <c r="T80" s="14"/>
      <c r="V80" s="12"/>
      <c r="W80" s="34"/>
    </row>
    <row r="81" spans="1:24" x14ac:dyDescent="0.25">
      <c r="A81" s="1"/>
      <c r="B81" s="1"/>
      <c r="C81" s="1"/>
      <c r="D81" s="1"/>
      <c r="E81" s="35"/>
      <c r="F81" s="3" t="s">
        <v>1</v>
      </c>
      <c r="G81" s="33">
        <v>143.922</v>
      </c>
      <c r="H81" s="1">
        <v>50</v>
      </c>
      <c r="I81" s="1">
        <v>4</v>
      </c>
      <c r="J81" s="1">
        <v>10</v>
      </c>
      <c r="K81" s="1">
        <f t="shared" si="25"/>
        <v>0.05</v>
      </c>
      <c r="L81" s="1">
        <v>5</v>
      </c>
      <c r="M81" s="5">
        <f t="shared" si="32"/>
        <v>3.1518917999999998E-3</v>
      </c>
      <c r="N81" s="6">
        <v>21.9</v>
      </c>
      <c r="O81" s="5">
        <f t="shared" si="27"/>
        <v>0.13071925335224341</v>
      </c>
      <c r="P81" s="7">
        <f t="shared" si="28"/>
        <v>2.6143850670448678</v>
      </c>
      <c r="Q81" s="8">
        <f t="shared" si="29"/>
        <v>0.65359626676121696</v>
      </c>
      <c r="R81" s="13">
        <f>G81/(G80+G81)*100</f>
        <v>70.942618708440335</v>
      </c>
      <c r="S81" s="10"/>
      <c r="T81" s="14"/>
      <c r="V81" s="12"/>
      <c r="W81" s="34"/>
    </row>
    <row r="82" spans="1:24" ht="18" x14ac:dyDescent="0.25">
      <c r="A82" s="36"/>
      <c r="B82" s="37"/>
      <c r="C82" s="37"/>
      <c r="D82" s="37"/>
      <c r="E82" s="38"/>
      <c r="F82" s="39" t="s">
        <v>2</v>
      </c>
      <c r="G82" s="40">
        <v>0</v>
      </c>
      <c r="H82" s="37">
        <v>50</v>
      </c>
      <c r="I82" s="37">
        <v>4</v>
      </c>
      <c r="J82" s="37">
        <v>10</v>
      </c>
      <c r="K82" s="37">
        <f t="shared" si="25"/>
        <v>0.05</v>
      </c>
      <c r="L82" s="37">
        <v>5</v>
      </c>
      <c r="M82" s="41">
        <f t="shared" si="32"/>
        <v>0</v>
      </c>
      <c r="N82" s="42">
        <v>21.9</v>
      </c>
      <c r="O82" s="41">
        <f t="shared" si="27"/>
        <v>0</v>
      </c>
      <c r="P82" s="43">
        <f t="shared" si="28"/>
        <v>0</v>
      </c>
      <c r="Q82" s="44">
        <f t="shared" si="29"/>
        <v>0</v>
      </c>
      <c r="R82" s="45"/>
      <c r="S82" s="46"/>
      <c r="T82" s="47"/>
      <c r="V82" s="12"/>
      <c r="W82" s="34"/>
    </row>
    <row r="83" spans="1:24" ht="18" x14ac:dyDescent="0.25">
      <c r="A83" s="1"/>
      <c r="B83" s="1"/>
      <c r="C83" s="1"/>
      <c r="D83" s="1"/>
      <c r="E83" s="2"/>
      <c r="F83" s="3" t="s">
        <v>0</v>
      </c>
      <c r="G83" s="4">
        <v>0</v>
      </c>
      <c r="H83" s="1">
        <v>50</v>
      </c>
      <c r="I83" s="1">
        <v>4</v>
      </c>
      <c r="J83" s="1">
        <v>10</v>
      </c>
      <c r="K83" s="1">
        <f t="shared" si="25"/>
        <v>0.05</v>
      </c>
      <c r="L83" s="1">
        <v>5</v>
      </c>
      <c r="M83" s="5">
        <f>G83*N83/1000000</f>
        <v>0</v>
      </c>
      <c r="N83" s="6">
        <v>21.9</v>
      </c>
      <c r="O83" s="5">
        <f t="shared" si="27"/>
        <v>0</v>
      </c>
      <c r="P83" s="7">
        <f t="shared" si="28"/>
        <v>0</v>
      </c>
      <c r="Q83" s="8">
        <f t="shared" si="29"/>
        <v>0</v>
      </c>
      <c r="R83" s="9"/>
      <c r="S83" s="10"/>
      <c r="T83" s="11"/>
      <c r="V83" s="12"/>
    </row>
    <row r="84" spans="1:24" x14ac:dyDescent="0.25">
      <c r="A84" s="1"/>
      <c r="B84" s="1"/>
      <c r="C84" s="1"/>
      <c r="D84" s="1"/>
      <c r="E84" s="2"/>
      <c r="F84" s="3" t="s">
        <v>1</v>
      </c>
      <c r="G84" s="4">
        <v>0</v>
      </c>
      <c r="H84" s="1">
        <v>50</v>
      </c>
      <c r="I84" s="1">
        <v>4</v>
      </c>
      <c r="J84" s="1">
        <v>10</v>
      </c>
      <c r="K84" s="1">
        <f t="shared" si="25"/>
        <v>0.05</v>
      </c>
      <c r="L84" s="1">
        <v>5</v>
      </c>
      <c r="M84" s="5">
        <f t="shared" ref="M84:M91" si="35">G84*N84/1000000</f>
        <v>0</v>
      </c>
      <c r="N84" s="6">
        <v>21.9</v>
      </c>
      <c r="O84" s="5">
        <f t="shared" si="27"/>
        <v>0</v>
      </c>
      <c r="P84" s="7">
        <f t="shared" si="28"/>
        <v>0</v>
      </c>
      <c r="Q84" s="8">
        <f t="shared" si="29"/>
        <v>0</v>
      </c>
      <c r="R84" s="13" t="e">
        <f>G84/(G83+G84)*100</f>
        <v>#DIV/0!</v>
      </c>
      <c r="S84" s="10"/>
      <c r="T84" s="14"/>
      <c r="V84" s="12"/>
    </row>
    <row r="85" spans="1:24" ht="18" x14ac:dyDescent="0.25">
      <c r="A85" s="15"/>
      <c r="B85" s="1"/>
      <c r="C85" s="1"/>
      <c r="D85" s="1"/>
      <c r="E85" s="2"/>
      <c r="F85" s="3" t="s">
        <v>2</v>
      </c>
      <c r="G85" s="4">
        <v>0</v>
      </c>
      <c r="H85" s="1">
        <v>50</v>
      </c>
      <c r="I85" s="1">
        <v>4</v>
      </c>
      <c r="J85" s="1">
        <v>10</v>
      </c>
      <c r="K85" s="1">
        <f t="shared" si="25"/>
        <v>0.05</v>
      </c>
      <c r="L85" s="1">
        <v>5</v>
      </c>
      <c r="M85" s="5">
        <f t="shared" si="35"/>
        <v>0</v>
      </c>
      <c r="N85" s="6">
        <v>21.9</v>
      </c>
      <c r="O85" s="5">
        <f t="shared" si="27"/>
        <v>0</v>
      </c>
      <c r="P85" s="7">
        <f t="shared" si="28"/>
        <v>0</v>
      </c>
      <c r="Q85" s="8">
        <f t="shared" si="29"/>
        <v>0</v>
      </c>
      <c r="R85" s="13"/>
      <c r="S85" s="10"/>
      <c r="T85" s="14"/>
      <c r="V85" s="12"/>
    </row>
    <row r="86" spans="1:24" ht="18" x14ac:dyDescent="0.25">
      <c r="A86" s="16" t="s">
        <v>3</v>
      </c>
      <c r="B86" s="16" t="s">
        <v>47</v>
      </c>
      <c r="C86" s="16" t="s">
        <v>5</v>
      </c>
      <c r="D86" s="16"/>
      <c r="E86" s="17" t="s">
        <v>6</v>
      </c>
      <c r="F86" s="18" t="s">
        <v>0</v>
      </c>
      <c r="G86" s="19">
        <v>0</v>
      </c>
      <c r="H86" s="16">
        <v>50</v>
      </c>
      <c r="I86" s="16">
        <v>4</v>
      </c>
      <c r="J86" s="16">
        <v>10</v>
      </c>
      <c r="K86" s="16">
        <f t="shared" si="25"/>
        <v>0.05</v>
      </c>
      <c r="L86" s="16">
        <v>5</v>
      </c>
      <c r="M86" s="20">
        <f t="shared" si="35"/>
        <v>0</v>
      </c>
      <c r="N86" s="21">
        <v>21.9</v>
      </c>
      <c r="O86" s="20">
        <f t="shared" si="27"/>
        <v>0</v>
      </c>
      <c r="P86" s="22">
        <f t="shared" si="28"/>
        <v>0</v>
      </c>
      <c r="Q86" s="23">
        <f t="shared" si="29"/>
        <v>0</v>
      </c>
      <c r="R86" s="24"/>
      <c r="S86" s="25"/>
      <c r="T86" s="26"/>
      <c r="U86" s="27" t="s">
        <v>0</v>
      </c>
      <c r="V86" s="28">
        <f>AVERAGE(G83,G86,G89)</f>
        <v>0</v>
      </c>
      <c r="W86" s="29">
        <f>AVERAGE(P83,P86,P89)</f>
        <v>0</v>
      </c>
      <c r="X86" s="29">
        <f>AVERAGE(Q83,Q86,Q89)</f>
        <v>0</v>
      </c>
    </row>
    <row r="87" spans="1:24" x14ac:dyDescent="0.25">
      <c r="A87" s="16" t="s">
        <v>7</v>
      </c>
      <c r="B87" s="16" t="s">
        <v>8</v>
      </c>
      <c r="C87" s="16" t="s">
        <v>9</v>
      </c>
      <c r="D87" s="16"/>
      <c r="E87" s="30" t="s">
        <v>10</v>
      </c>
      <c r="F87" s="18" t="s">
        <v>1</v>
      </c>
      <c r="G87" s="19">
        <v>0</v>
      </c>
      <c r="H87" s="16">
        <v>50</v>
      </c>
      <c r="I87" s="16">
        <v>4</v>
      </c>
      <c r="J87" s="16">
        <v>10</v>
      </c>
      <c r="K87" s="16">
        <f t="shared" si="25"/>
        <v>0.05</v>
      </c>
      <c r="L87" s="16">
        <v>5</v>
      </c>
      <c r="M87" s="20">
        <f t="shared" si="35"/>
        <v>0</v>
      </c>
      <c r="N87" s="21">
        <v>21.9</v>
      </c>
      <c r="O87" s="20">
        <f t="shared" si="27"/>
        <v>0</v>
      </c>
      <c r="P87" s="22">
        <f t="shared" si="28"/>
        <v>0</v>
      </c>
      <c r="Q87" s="23">
        <f t="shared" si="29"/>
        <v>0</v>
      </c>
      <c r="R87" s="31" t="e">
        <f>G87/(G86+G87)*100</f>
        <v>#DIV/0!</v>
      </c>
      <c r="S87" s="25"/>
      <c r="T87" s="26"/>
      <c r="U87" s="27" t="s">
        <v>1</v>
      </c>
      <c r="V87" s="28">
        <f t="shared" ref="V87:V88" si="36">AVERAGE(G84,G87,G90)</f>
        <v>0</v>
      </c>
      <c r="W87" s="29">
        <f t="shared" ref="W87:X88" si="37">AVERAGE(P84,P87,P90)</f>
        <v>0</v>
      </c>
      <c r="X87" s="29">
        <f t="shared" si="37"/>
        <v>0</v>
      </c>
    </row>
    <row r="88" spans="1:24" ht="18" x14ac:dyDescent="0.25">
      <c r="A88" s="32" t="s">
        <v>49</v>
      </c>
      <c r="B88" s="16"/>
      <c r="C88" s="16"/>
      <c r="D88" s="16"/>
      <c r="E88" s="17"/>
      <c r="F88" s="18" t="s">
        <v>2</v>
      </c>
      <c r="G88" s="19">
        <v>0</v>
      </c>
      <c r="H88" s="16">
        <v>50</v>
      </c>
      <c r="I88" s="16">
        <v>4</v>
      </c>
      <c r="J88" s="16">
        <v>10</v>
      </c>
      <c r="K88" s="16">
        <f t="shared" si="25"/>
        <v>0.05</v>
      </c>
      <c r="L88" s="16">
        <v>5</v>
      </c>
      <c r="M88" s="20">
        <f t="shared" si="35"/>
        <v>0</v>
      </c>
      <c r="N88" s="21">
        <v>21.9</v>
      </c>
      <c r="O88" s="20">
        <f t="shared" si="27"/>
        <v>0</v>
      </c>
      <c r="P88" s="22">
        <f t="shared" si="28"/>
        <v>0</v>
      </c>
      <c r="Q88" s="23">
        <f t="shared" si="29"/>
        <v>0</v>
      </c>
      <c r="R88" s="31"/>
      <c r="S88" s="25"/>
      <c r="T88" s="26"/>
      <c r="U88" s="27" t="s">
        <v>2</v>
      </c>
      <c r="V88" s="28">
        <f t="shared" si="36"/>
        <v>0</v>
      </c>
      <c r="W88" s="29">
        <f t="shared" si="37"/>
        <v>0</v>
      </c>
      <c r="X88" s="29">
        <f t="shared" si="37"/>
        <v>0</v>
      </c>
    </row>
    <row r="89" spans="1:24" ht="18" x14ac:dyDescent="0.25">
      <c r="A89" s="1"/>
      <c r="B89" s="1"/>
      <c r="C89" s="1"/>
      <c r="D89" s="1"/>
      <c r="E89" s="2"/>
      <c r="F89" s="3" t="s">
        <v>0</v>
      </c>
      <c r="G89" s="33">
        <v>0</v>
      </c>
      <c r="H89" s="1">
        <v>50</v>
      </c>
      <c r="I89" s="1">
        <v>4</v>
      </c>
      <c r="J89" s="1">
        <v>10</v>
      </c>
      <c r="K89" s="1">
        <f t="shared" si="25"/>
        <v>0.05</v>
      </c>
      <c r="L89" s="1">
        <v>5</v>
      </c>
      <c r="M89" s="5">
        <f t="shared" si="35"/>
        <v>0</v>
      </c>
      <c r="N89" s="6">
        <v>21.9</v>
      </c>
      <c r="O89" s="5">
        <f t="shared" si="27"/>
        <v>0</v>
      </c>
      <c r="P89" s="7">
        <f t="shared" si="28"/>
        <v>0</v>
      </c>
      <c r="Q89" s="8">
        <f t="shared" si="29"/>
        <v>0</v>
      </c>
      <c r="R89" s="9"/>
      <c r="S89" s="10"/>
      <c r="T89" s="14"/>
      <c r="V89" s="12"/>
      <c r="W89" s="34"/>
    </row>
    <row r="90" spans="1:24" x14ac:dyDescent="0.25">
      <c r="A90" s="1"/>
      <c r="B90" s="1"/>
      <c r="C90" s="1"/>
      <c r="D90" s="1"/>
      <c r="E90" s="35"/>
      <c r="F90" s="3" t="s">
        <v>1</v>
      </c>
      <c r="G90" s="33">
        <v>0</v>
      </c>
      <c r="H90" s="1">
        <v>50</v>
      </c>
      <c r="I90" s="1">
        <v>4</v>
      </c>
      <c r="J90" s="1">
        <v>10</v>
      </c>
      <c r="K90" s="1">
        <f t="shared" si="25"/>
        <v>0.05</v>
      </c>
      <c r="L90" s="1">
        <v>5</v>
      </c>
      <c r="M90" s="5">
        <f t="shared" si="35"/>
        <v>0</v>
      </c>
      <c r="N90" s="6">
        <v>21.9</v>
      </c>
      <c r="O90" s="5">
        <f t="shared" si="27"/>
        <v>0</v>
      </c>
      <c r="P90" s="7">
        <f t="shared" si="28"/>
        <v>0</v>
      </c>
      <c r="Q90" s="8">
        <f t="shared" si="29"/>
        <v>0</v>
      </c>
      <c r="R90" s="13" t="e">
        <f>G90/(G89+G90)*100</f>
        <v>#DIV/0!</v>
      </c>
      <c r="S90" s="10"/>
      <c r="T90" s="14"/>
      <c r="V90" s="12"/>
      <c r="W90" s="34"/>
    </row>
    <row r="91" spans="1:24" ht="18" x14ac:dyDescent="0.25">
      <c r="A91" s="36"/>
      <c r="B91" s="37"/>
      <c r="C91" s="37"/>
      <c r="D91" s="37"/>
      <c r="E91" s="38"/>
      <c r="F91" s="39" t="s">
        <v>2</v>
      </c>
      <c r="G91" s="40">
        <v>0</v>
      </c>
      <c r="H91" s="37">
        <v>50</v>
      </c>
      <c r="I91" s="37">
        <v>4</v>
      </c>
      <c r="J91" s="37">
        <v>10</v>
      </c>
      <c r="K91" s="37">
        <f t="shared" si="25"/>
        <v>0.05</v>
      </c>
      <c r="L91" s="37">
        <v>5</v>
      </c>
      <c r="M91" s="41">
        <f t="shared" si="35"/>
        <v>0</v>
      </c>
      <c r="N91" s="42">
        <v>21.9</v>
      </c>
      <c r="O91" s="41">
        <f t="shared" si="27"/>
        <v>0</v>
      </c>
      <c r="P91" s="43">
        <f t="shared" si="28"/>
        <v>0</v>
      </c>
      <c r="Q91" s="44">
        <f t="shared" si="29"/>
        <v>0</v>
      </c>
      <c r="R91" s="45"/>
      <c r="S91" s="46"/>
      <c r="T91" s="47"/>
      <c r="V91" s="12"/>
      <c r="W91" s="34"/>
    </row>
    <row r="92" spans="1:24" ht="18" x14ac:dyDescent="0.25">
      <c r="A92" s="1"/>
      <c r="B92" s="1"/>
      <c r="C92" s="1"/>
      <c r="D92" s="1"/>
      <c r="E92" s="2"/>
      <c r="F92" s="3" t="s">
        <v>0</v>
      </c>
      <c r="G92" s="4">
        <v>11082.691000000001</v>
      </c>
      <c r="H92" s="1">
        <v>50</v>
      </c>
      <c r="I92" s="1">
        <v>4</v>
      </c>
      <c r="J92" s="1">
        <v>10</v>
      </c>
      <c r="K92" s="1">
        <f t="shared" si="25"/>
        <v>0.05</v>
      </c>
      <c r="L92" s="1">
        <v>5</v>
      </c>
      <c r="M92" s="5">
        <f>G92*N92/1000000</f>
        <v>0.24271093290000001</v>
      </c>
      <c r="N92" s="6">
        <v>21.9</v>
      </c>
      <c r="O92" s="5">
        <f t="shared" si="27"/>
        <v>10.066015568527591</v>
      </c>
      <c r="P92" s="7">
        <f t="shared" si="28"/>
        <v>201.32031137055182</v>
      </c>
      <c r="Q92" s="8">
        <f t="shared" si="29"/>
        <v>50.330077842637955</v>
      </c>
      <c r="R92" s="9"/>
      <c r="S92" s="10"/>
      <c r="T92" s="11"/>
      <c r="V92" s="12"/>
    </row>
    <row r="93" spans="1:24" x14ac:dyDescent="0.25">
      <c r="A93" s="1"/>
      <c r="B93" s="1"/>
      <c r="C93" s="1"/>
      <c r="D93" s="1"/>
      <c r="E93" s="2"/>
      <c r="F93" s="3" t="s">
        <v>1</v>
      </c>
      <c r="G93" s="4">
        <v>994.31899999999996</v>
      </c>
      <c r="H93" s="1">
        <v>50</v>
      </c>
      <c r="I93" s="1">
        <v>4</v>
      </c>
      <c r="J93" s="1">
        <v>10</v>
      </c>
      <c r="K93" s="1">
        <f t="shared" si="25"/>
        <v>0.05</v>
      </c>
      <c r="L93" s="1">
        <v>5</v>
      </c>
      <c r="M93" s="5">
        <f t="shared" ref="M93:M100" si="38">G93*N93/1000000</f>
        <v>2.1775586099999997E-2</v>
      </c>
      <c r="N93" s="6">
        <v>21.9</v>
      </c>
      <c r="O93" s="5">
        <f t="shared" si="27"/>
        <v>0.90310471834708583</v>
      </c>
      <c r="P93" s="7">
        <f t="shared" si="28"/>
        <v>18.062094366941714</v>
      </c>
      <c r="Q93" s="8">
        <f t="shared" si="29"/>
        <v>4.5155235917354286</v>
      </c>
      <c r="R93" s="13">
        <f>G93/(G92+G93)*100</f>
        <v>8.2331553919388991</v>
      </c>
      <c r="S93" s="10"/>
      <c r="T93" s="14"/>
      <c r="V93" s="12"/>
    </row>
    <row r="94" spans="1:24" ht="18" x14ac:dyDescent="0.25">
      <c r="A94" s="15"/>
      <c r="B94" s="1"/>
      <c r="C94" s="1"/>
      <c r="D94" s="1"/>
      <c r="E94" s="2"/>
      <c r="F94" s="3" t="s">
        <v>2</v>
      </c>
      <c r="G94" s="4">
        <v>0</v>
      </c>
      <c r="H94" s="1">
        <v>50</v>
      </c>
      <c r="I94" s="1">
        <v>4</v>
      </c>
      <c r="J94" s="1">
        <v>10</v>
      </c>
      <c r="K94" s="1">
        <f t="shared" si="25"/>
        <v>0.05</v>
      </c>
      <c r="L94" s="1">
        <v>5</v>
      </c>
      <c r="M94" s="5">
        <f t="shared" si="38"/>
        <v>0</v>
      </c>
      <c r="N94" s="6">
        <v>21.9</v>
      </c>
      <c r="O94" s="5">
        <f t="shared" si="27"/>
        <v>0</v>
      </c>
      <c r="P94" s="7">
        <f t="shared" si="28"/>
        <v>0</v>
      </c>
      <c r="Q94" s="8">
        <f t="shared" si="29"/>
        <v>0</v>
      </c>
      <c r="R94" s="13"/>
      <c r="S94" s="10"/>
      <c r="T94" s="14"/>
      <c r="V94" s="12"/>
    </row>
    <row r="95" spans="1:24" ht="18" x14ac:dyDescent="0.25">
      <c r="A95" s="16" t="s">
        <v>3</v>
      </c>
      <c r="B95" s="16" t="s">
        <v>41</v>
      </c>
      <c r="C95" s="16" t="s">
        <v>5</v>
      </c>
      <c r="D95" s="16" t="s">
        <v>50</v>
      </c>
      <c r="E95" s="17" t="s">
        <v>6</v>
      </c>
      <c r="F95" s="18" t="s">
        <v>0</v>
      </c>
      <c r="G95" s="19">
        <v>10937.333000000001</v>
      </c>
      <c r="H95" s="16">
        <v>50</v>
      </c>
      <c r="I95" s="16">
        <v>4</v>
      </c>
      <c r="J95" s="16">
        <v>10</v>
      </c>
      <c r="K95" s="16">
        <f t="shared" si="25"/>
        <v>0.05</v>
      </c>
      <c r="L95" s="16">
        <v>5</v>
      </c>
      <c r="M95" s="20">
        <f t="shared" si="38"/>
        <v>0.23952759270000001</v>
      </c>
      <c r="N95" s="21">
        <v>21.9</v>
      </c>
      <c r="O95" s="20">
        <f t="shared" si="27"/>
        <v>9.9339920472537386</v>
      </c>
      <c r="P95" s="22">
        <f t="shared" si="28"/>
        <v>198.67984094507477</v>
      </c>
      <c r="Q95" s="23">
        <f t="shared" si="29"/>
        <v>49.669960236268693</v>
      </c>
      <c r="R95" s="24"/>
      <c r="S95" s="25"/>
      <c r="T95" s="26"/>
      <c r="U95" s="27" t="s">
        <v>0</v>
      </c>
      <c r="V95" s="28">
        <f>AVERAGE(G92,G95,G98)</f>
        <v>11257.214666666667</v>
      </c>
      <c r="W95" s="29">
        <f>AVERAGE(P92,P95,P98)</f>
        <v>204.49058462953408</v>
      </c>
      <c r="X95" s="29">
        <f>AVERAGE(Q92,Q95,Q98)</f>
        <v>51.122646157383521</v>
      </c>
    </row>
    <row r="96" spans="1:24" x14ac:dyDescent="0.25">
      <c r="A96" s="16" t="s">
        <v>7</v>
      </c>
      <c r="B96" s="16" t="s">
        <v>8</v>
      </c>
      <c r="C96" s="16" t="s">
        <v>9</v>
      </c>
      <c r="D96" s="16" t="s">
        <v>51</v>
      </c>
      <c r="E96" s="30" t="s">
        <v>10</v>
      </c>
      <c r="F96" s="18" t="s">
        <v>1</v>
      </c>
      <c r="G96" s="19">
        <v>943.57299999999998</v>
      </c>
      <c r="H96" s="16">
        <v>50</v>
      </c>
      <c r="I96" s="16">
        <v>4</v>
      </c>
      <c r="J96" s="16">
        <v>10</v>
      </c>
      <c r="K96" s="16">
        <f t="shared" si="25"/>
        <v>0.05</v>
      </c>
      <c r="L96" s="16">
        <v>5</v>
      </c>
      <c r="M96" s="20">
        <f t="shared" si="38"/>
        <v>2.0664248699999995E-2</v>
      </c>
      <c r="N96" s="21">
        <v>21.9</v>
      </c>
      <c r="O96" s="20">
        <f t="shared" si="27"/>
        <v>0.85701392451005631</v>
      </c>
      <c r="P96" s="22">
        <f t="shared" si="28"/>
        <v>17.140278490201126</v>
      </c>
      <c r="Q96" s="23">
        <f t="shared" si="29"/>
        <v>4.2850696225502816</v>
      </c>
      <c r="R96" s="31">
        <f>G96/(G95+G96)*100</f>
        <v>7.9419279977469728</v>
      </c>
      <c r="S96" s="25"/>
      <c r="T96" s="26"/>
      <c r="U96" s="27" t="s">
        <v>1</v>
      </c>
      <c r="V96" s="28">
        <f t="shared" ref="V96:V97" si="39">AVERAGE(G93,G96,G99)</f>
        <v>888.25633333333326</v>
      </c>
      <c r="W96" s="29">
        <f t="shared" ref="W96:X97" si="40">AVERAGE(P93,P96,P99)</f>
        <v>16.135435121626262</v>
      </c>
      <c r="X96" s="29">
        <f t="shared" si="40"/>
        <v>4.0338587804065655</v>
      </c>
    </row>
    <row r="97" spans="1:24" ht="18" x14ac:dyDescent="0.25">
      <c r="A97" s="32" t="s">
        <v>52</v>
      </c>
      <c r="B97" s="16"/>
      <c r="C97" s="16"/>
      <c r="D97" s="16"/>
      <c r="E97" s="17"/>
      <c r="F97" s="18" t="s">
        <v>2</v>
      </c>
      <c r="G97" s="19">
        <v>0</v>
      </c>
      <c r="H97" s="16">
        <v>50</v>
      </c>
      <c r="I97" s="16">
        <v>4</v>
      </c>
      <c r="J97" s="16">
        <v>10</v>
      </c>
      <c r="K97" s="16">
        <f t="shared" si="25"/>
        <v>0.05</v>
      </c>
      <c r="L97" s="16">
        <v>5</v>
      </c>
      <c r="M97" s="20">
        <f t="shared" si="38"/>
        <v>0</v>
      </c>
      <c r="N97" s="21">
        <v>21.9</v>
      </c>
      <c r="O97" s="20">
        <f t="shared" si="27"/>
        <v>0</v>
      </c>
      <c r="P97" s="22">
        <f t="shared" si="28"/>
        <v>0</v>
      </c>
      <c r="Q97" s="23">
        <f t="shared" si="29"/>
        <v>0</v>
      </c>
      <c r="R97" s="31"/>
      <c r="S97" s="25"/>
      <c r="T97" s="26"/>
      <c r="U97" s="27" t="s">
        <v>2</v>
      </c>
      <c r="V97" s="28">
        <f t="shared" si="39"/>
        <v>0</v>
      </c>
      <c r="W97" s="29">
        <f t="shared" si="40"/>
        <v>0</v>
      </c>
      <c r="X97" s="29">
        <f t="shared" si="40"/>
        <v>0</v>
      </c>
    </row>
    <row r="98" spans="1:24" ht="18" x14ac:dyDescent="0.25">
      <c r="A98" s="1"/>
      <c r="B98" s="1"/>
      <c r="C98" s="1"/>
      <c r="D98" s="1"/>
      <c r="E98" s="2"/>
      <c r="F98" s="3" t="s">
        <v>0</v>
      </c>
      <c r="G98" s="33">
        <v>11751.62</v>
      </c>
      <c r="H98" s="1">
        <v>50</v>
      </c>
      <c r="I98" s="1">
        <v>4</v>
      </c>
      <c r="J98" s="1">
        <v>10</v>
      </c>
      <c r="K98" s="1">
        <f t="shared" si="25"/>
        <v>0.05</v>
      </c>
      <c r="L98" s="1">
        <v>5</v>
      </c>
      <c r="M98" s="5">
        <f t="shared" si="38"/>
        <v>0.257360478</v>
      </c>
      <c r="N98" s="6">
        <v>21.9</v>
      </c>
      <c r="O98" s="5">
        <f t="shared" si="27"/>
        <v>10.673580078648786</v>
      </c>
      <c r="P98" s="7">
        <f t="shared" si="28"/>
        <v>213.47160157297571</v>
      </c>
      <c r="Q98" s="8">
        <f t="shared" si="29"/>
        <v>53.367900393243929</v>
      </c>
      <c r="R98" s="9"/>
      <c r="S98" s="10"/>
      <c r="T98" s="14"/>
      <c r="V98" s="12"/>
      <c r="W98" s="34"/>
    </row>
    <row r="99" spans="1:24" x14ac:dyDescent="0.25">
      <c r="A99" s="1"/>
      <c r="B99" s="1"/>
      <c r="C99" s="1"/>
      <c r="D99" s="1"/>
      <c r="E99" s="35"/>
      <c r="F99" s="3" t="s">
        <v>1</v>
      </c>
      <c r="G99" s="33">
        <v>726.87699999999995</v>
      </c>
      <c r="H99" s="1">
        <v>50</v>
      </c>
      <c r="I99" s="1">
        <v>4</v>
      </c>
      <c r="J99" s="1">
        <v>10</v>
      </c>
      <c r="K99" s="1">
        <f t="shared" si="25"/>
        <v>0.05</v>
      </c>
      <c r="L99" s="1">
        <v>5</v>
      </c>
      <c r="M99" s="5">
        <f t="shared" si="38"/>
        <v>1.5918606299999999E-2</v>
      </c>
      <c r="N99" s="6">
        <v>21.9</v>
      </c>
      <c r="O99" s="5">
        <f t="shared" si="27"/>
        <v>0.66019662538679702</v>
      </c>
      <c r="P99" s="7">
        <f t="shared" si="28"/>
        <v>13.20393250773594</v>
      </c>
      <c r="Q99" s="8">
        <f t="shared" si="29"/>
        <v>3.3009831269339851</v>
      </c>
      <c r="R99" s="13">
        <f>G99/(G98+G99)*100</f>
        <v>5.82503646072119</v>
      </c>
      <c r="S99" s="10"/>
      <c r="T99" s="14"/>
      <c r="V99" s="12"/>
      <c r="W99" s="34"/>
    </row>
    <row r="100" spans="1:24" ht="18" x14ac:dyDescent="0.25">
      <c r="A100" s="36"/>
      <c r="B100" s="37"/>
      <c r="C100" s="37"/>
      <c r="D100" s="37"/>
      <c r="E100" s="38"/>
      <c r="F100" s="39" t="s">
        <v>2</v>
      </c>
      <c r="G100" s="40">
        <v>0</v>
      </c>
      <c r="H100" s="37">
        <v>50</v>
      </c>
      <c r="I100" s="37">
        <v>4</v>
      </c>
      <c r="J100" s="37">
        <v>10</v>
      </c>
      <c r="K100" s="37">
        <f t="shared" si="25"/>
        <v>0.05</v>
      </c>
      <c r="L100" s="37">
        <v>5</v>
      </c>
      <c r="M100" s="41">
        <f t="shared" si="38"/>
        <v>0</v>
      </c>
      <c r="N100" s="42">
        <v>21.9</v>
      </c>
      <c r="O100" s="41">
        <f t="shared" si="27"/>
        <v>0</v>
      </c>
      <c r="P100" s="43">
        <f t="shared" si="28"/>
        <v>0</v>
      </c>
      <c r="Q100" s="44">
        <f t="shared" si="29"/>
        <v>0</v>
      </c>
      <c r="R100" s="45"/>
      <c r="S100" s="46"/>
      <c r="T100" s="47"/>
      <c r="V100" s="12"/>
      <c r="W100" s="34"/>
    </row>
    <row r="101" spans="1:24" ht="18" x14ac:dyDescent="0.25">
      <c r="A101" s="1"/>
      <c r="B101" s="1"/>
      <c r="C101" s="1"/>
      <c r="D101" s="1"/>
      <c r="E101" s="2"/>
      <c r="F101" s="3" t="s">
        <v>0</v>
      </c>
      <c r="G101" s="4">
        <v>15249.531000000001</v>
      </c>
      <c r="H101" s="1">
        <v>50</v>
      </c>
      <c r="I101" s="1">
        <v>4</v>
      </c>
      <c r="J101" s="1">
        <v>10</v>
      </c>
      <c r="K101" s="1">
        <f t="shared" si="25"/>
        <v>0.05</v>
      </c>
      <c r="L101" s="1">
        <v>5</v>
      </c>
      <c r="M101" s="5">
        <f>G101*N101/1000000</f>
        <v>0.33396472890000001</v>
      </c>
      <c r="N101" s="6">
        <v>21.9</v>
      </c>
      <c r="O101" s="5">
        <f t="shared" si="27"/>
        <v>13.850608706743165</v>
      </c>
      <c r="P101" s="7">
        <f t="shared" si="28"/>
        <v>277.0121741348633</v>
      </c>
      <c r="Q101" s="8">
        <f t="shared" si="29"/>
        <v>69.253043533715825</v>
      </c>
      <c r="R101" s="9"/>
      <c r="S101" s="10"/>
      <c r="T101" s="11"/>
      <c r="V101" s="12"/>
    </row>
    <row r="102" spans="1:24" x14ac:dyDescent="0.25">
      <c r="A102" s="1"/>
      <c r="B102" s="1"/>
      <c r="C102" s="1"/>
      <c r="D102" s="1"/>
      <c r="E102" s="2"/>
      <c r="F102" s="3" t="s">
        <v>1</v>
      </c>
      <c r="G102" s="4">
        <v>945.38599999999997</v>
      </c>
      <c r="H102" s="1">
        <v>50</v>
      </c>
      <c r="I102" s="1">
        <v>4</v>
      </c>
      <c r="J102" s="1">
        <v>10</v>
      </c>
      <c r="K102" s="1">
        <f t="shared" si="25"/>
        <v>0.05</v>
      </c>
      <c r="L102" s="1">
        <v>5</v>
      </c>
      <c r="M102" s="5">
        <f t="shared" ref="M102:M109" si="41">G102*N102/1000000</f>
        <v>2.0703953399999999E-2</v>
      </c>
      <c r="N102" s="6">
        <v>21.9</v>
      </c>
      <c r="O102" s="5">
        <f t="shared" si="27"/>
        <v>0.85866060817431655</v>
      </c>
      <c r="P102" s="7">
        <f t="shared" si="28"/>
        <v>17.17321216348633</v>
      </c>
      <c r="Q102" s="8">
        <f t="shared" si="29"/>
        <v>4.2933030408715824</v>
      </c>
      <c r="R102" s="13">
        <f>G102/(G101+G102)*100</f>
        <v>5.8375476700498057</v>
      </c>
      <c r="S102" s="10"/>
      <c r="T102" s="14"/>
      <c r="V102" s="12"/>
    </row>
    <row r="103" spans="1:24" ht="18" x14ac:dyDescent="0.25">
      <c r="A103" s="15"/>
      <c r="B103" s="1"/>
      <c r="C103" s="1"/>
      <c r="D103" s="1"/>
      <c r="E103" s="2"/>
      <c r="F103" s="3" t="s">
        <v>2</v>
      </c>
      <c r="G103" s="4">
        <v>74.600999999999999</v>
      </c>
      <c r="H103" s="1">
        <v>50</v>
      </c>
      <c r="I103" s="1">
        <v>4</v>
      </c>
      <c r="J103" s="1">
        <v>10</v>
      </c>
      <c r="K103" s="1">
        <f t="shared" si="25"/>
        <v>0.05</v>
      </c>
      <c r="L103" s="1">
        <v>5</v>
      </c>
      <c r="M103" s="5">
        <f t="shared" si="41"/>
        <v>1.6337618999999999E-3</v>
      </c>
      <c r="N103" s="6">
        <v>21.9</v>
      </c>
      <c r="O103" s="5">
        <f t="shared" si="27"/>
        <v>6.7757445139247016E-2</v>
      </c>
      <c r="P103" s="7">
        <f t="shared" si="28"/>
        <v>1.3551489027849402</v>
      </c>
      <c r="Q103" s="8">
        <f t="shared" si="29"/>
        <v>0.33878722569623504</v>
      </c>
      <c r="R103" s="13"/>
      <c r="S103" s="10"/>
      <c r="T103" s="14"/>
      <c r="V103" s="12"/>
    </row>
    <row r="104" spans="1:24" ht="18" x14ac:dyDescent="0.25">
      <c r="A104" s="16" t="s">
        <v>3</v>
      </c>
      <c r="B104" s="16" t="s">
        <v>41</v>
      </c>
      <c r="C104" s="16" t="s">
        <v>5</v>
      </c>
      <c r="D104" s="16" t="s">
        <v>53</v>
      </c>
      <c r="E104" s="17" t="s">
        <v>6</v>
      </c>
      <c r="F104" s="18" t="s">
        <v>0</v>
      </c>
      <c r="G104" s="19">
        <v>17396.746999999999</v>
      </c>
      <c r="H104" s="16">
        <v>50</v>
      </c>
      <c r="I104" s="16">
        <v>4</v>
      </c>
      <c r="J104" s="16">
        <v>10</v>
      </c>
      <c r="K104" s="16">
        <f t="shared" si="25"/>
        <v>0.05</v>
      </c>
      <c r="L104" s="16">
        <v>5</v>
      </c>
      <c r="M104" s="20">
        <f t="shared" si="41"/>
        <v>0.38098875929999998</v>
      </c>
      <c r="N104" s="21">
        <v>21.9</v>
      </c>
      <c r="O104" s="20">
        <f t="shared" si="27"/>
        <v>15.800848922318202</v>
      </c>
      <c r="P104" s="22">
        <f t="shared" si="28"/>
        <v>316.01697844636402</v>
      </c>
      <c r="Q104" s="23">
        <f t="shared" si="29"/>
        <v>79.004244611591005</v>
      </c>
      <c r="R104" s="24"/>
      <c r="S104" s="25"/>
      <c r="T104" s="26"/>
      <c r="U104" s="27" t="s">
        <v>0</v>
      </c>
      <c r="V104" s="28">
        <f>AVERAGE(G101,G104,G107)</f>
        <v>15850.164999999999</v>
      </c>
      <c r="W104" s="29">
        <f>AVERAGE(P101,P104,P107)</f>
        <v>287.92286576199064</v>
      </c>
      <c r="X104" s="29">
        <f>AVERAGE(Q101,Q104,Q107)</f>
        <v>71.980716440497659</v>
      </c>
    </row>
    <row r="105" spans="1:24" x14ac:dyDescent="0.25">
      <c r="A105" s="16" t="s">
        <v>7</v>
      </c>
      <c r="B105" s="16" t="s">
        <v>8</v>
      </c>
      <c r="C105" s="16" t="s">
        <v>9</v>
      </c>
      <c r="D105" s="16" t="s">
        <v>51</v>
      </c>
      <c r="E105" s="30" t="s">
        <v>10</v>
      </c>
      <c r="F105" s="18" t="s">
        <v>1</v>
      </c>
      <c r="G105" s="19">
        <v>513.995</v>
      </c>
      <c r="H105" s="16">
        <v>50</v>
      </c>
      <c r="I105" s="16">
        <v>4</v>
      </c>
      <c r="J105" s="16">
        <v>10</v>
      </c>
      <c r="K105" s="16">
        <f t="shared" si="25"/>
        <v>0.05</v>
      </c>
      <c r="L105" s="16">
        <v>5</v>
      </c>
      <c r="M105" s="20">
        <f t="shared" si="41"/>
        <v>1.1256490500000001E-2</v>
      </c>
      <c r="N105" s="21">
        <v>21.9</v>
      </c>
      <c r="O105" s="20">
        <f t="shared" si="27"/>
        <v>0.46684344733109845</v>
      </c>
      <c r="P105" s="22">
        <f t="shared" si="28"/>
        <v>9.3368689466219692</v>
      </c>
      <c r="Q105" s="23">
        <f t="shared" si="29"/>
        <v>2.3342172366554923</v>
      </c>
      <c r="R105" s="31">
        <f>G105/(G104+G105)*100</f>
        <v>2.8697582713211998</v>
      </c>
      <c r="S105" s="25"/>
      <c r="T105" s="26"/>
      <c r="U105" s="27" t="s">
        <v>1</v>
      </c>
      <c r="V105" s="28">
        <f t="shared" ref="V105:V106" si="42">AVERAGE(G102,G105,G108)</f>
        <v>741.19733333333318</v>
      </c>
      <c r="W105" s="29">
        <f t="shared" ref="W105:X106" si="43">AVERAGE(P102,P105,P108)</f>
        <v>13.464065535499396</v>
      </c>
      <c r="X105" s="29">
        <f t="shared" si="43"/>
        <v>3.3660163838748489</v>
      </c>
    </row>
    <row r="106" spans="1:24" ht="18" x14ac:dyDescent="0.25">
      <c r="A106" s="32" t="s">
        <v>54</v>
      </c>
      <c r="B106" s="16"/>
      <c r="C106" s="16"/>
      <c r="D106" s="16"/>
      <c r="E106" s="17"/>
      <c r="F106" s="18" t="s">
        <v>2</v>
      </c>
      <c r="G106" s="19">
        <v>67.811000000000007</v>
      </c>
      <c r="H106" s="16">
        <v>50</v>
      </c>
      <c r="I106" s="16">
        <v>4</v>
      </c>
      <c r="J106" s="16">
        <v>10</v>
      </c>
      <c r="K106" s="16">
        <f t="shared" si="25"/>
        <v>0.05</v>
      </c>
      <c r="L106" s="16">
        <v>5</v>
      </c>
      <c r="M106" s="20">
        <f t="shared" si="41"/>
        <v>1.4850608999999999E-3</v>
      </c>
      <c r="N106" s="21">
        <v>21.9</v>
      </c>
      <c r="O106" s="20">
        <f t="shared" si="27"/>
        <v>6.159032871325424E-2</v>
      </c>
      <c r="P106" s="22">
        <f t="shared" si="28"/>
        <v>1.2318065742650848</v>
      </c>
      <c r="Q106" s="23">
        <f t="shared" si="29"/>
        <v>0.30795164356627119</v>
      </c>
      <c r="R106" s="31"/>
      <c r="S106" s="25"/>
      <c r="T106" s="26"/>
      <c r="U106" s="27" t="s">
        <v>2</v>
      </c>
      <c r="V106" s="28">
        <f t="shared" si="42"/>
        <v>70.340333333333334</v>
      </c>
      <c r="W106" s="29">
        <f t="shared" si="43"/>
        <v>1.2777526512807285</v>
      </c>
      <c r="X106" s="29">
        <f t="shared" si="43"/>
        <v>0.31943816282018211</v>
      </c>
    </row>
    <row r="107" spans="1:24" ht="18" x14ac:dyDescent="0.25">
      <c r="A107" s="1"/>
      <c r="B107" s="1"/>
      <c r="C107" s="1"/>
      <c r="D107" s="1"/>
      <c r="E107" s="2"/>
      <c r="F107" s="3" t="s">
        <v>0</v>
      </c>
      <c r="G107" s="33">
        <v>14904.217000000001</v>
      </c>
      <c r="H107" s="1">
        <v>50</v>
      </c>
      <c r="I107" s="1">
        <v>4</v>
      </c>
      <c r="J107" s="1">
        <v>10</v>
      </c>
      <c r="K107" s="1">
        <f t="shared" si="25"/>
        <v>0.05</v>
      </c>
      <c r="L107" s="1">
        <v>5</v>
      </c>
      <c r="M107" s="5">
        <f t="shared" si="41"/>
        <v>0.32640235229999998</v>
      </c>
      <c r="N107" s="6">
        <v>21.9</v>
      </c>
      <c r="O107" s="5">
        <f t="shared" si="27"/>
        <v>13.536972235237233</v>
      </c>
      <c r="P107" s="7">
        <f t="shared" si="28"/>
        <v>270.73944470474464</v>
      </c>
      <c r="Q107" s="8">
        <f t="shared" si="29"/>
        <v>67.68486117618616</v>
      </c>
      <c r="R107" s="9"/>
      <c r="S107" s="10"/>
      <c r="T107" s="14"/>
      <c r="V107" s="12"/>
      <c r="W107" s="34"/>
    </row>
    <row r="108" spans="1:24" x14ac:dyDescent="0.25">
      <c r="A108" s="1"/>
      <c r="B108" s="1"/>
      <c r="C108" s="1"/>
      <c r="D108" s="1"/>
      <c r="E108" s="35"/>
      <c r="F108" s="3" t="s">
        <v>1</v>
      </c>
      <c r="G108" s="33">
        <v>764.21100000000001</v>
      </c>
      <c r="H108" s="1">
        <v>50</v>
      </c>
      <c r="I108" s="1">
        <v>4</v>
      </c>
      <c r="J108" s="1">
        <v>10</v>
      </c>
      <c r="K108" s="1">
        <f t="shared" si="25"/>
        <v>0.05</v>
      </c>
      <c r="L108" s="1">
        <v>5</v>
      </c>
      <c r="M108" s="5">
        <f t="shared" si="41"/>
        <v>1.6736220900000001E-2</v>
      </c>
      <c r="N108" s="6">
        <v>21.9</v>
      </c>
      <c r="O108" s="5">
        <f t="shared" si="27"/>
        <v>0.69410577481949454</v>
      </c>
      <c r="P108" s="7">
        <f t="shared" si="28"/>
        <v>13.88211549638989</v>
      </c>
      <c r="Q108" s="8">
        <f t="shared" si="29"/>
        <v>3.4705288740974725</v>
      </c>
      <c r="R108" s="13">
        <f>G108/(G107+G108)*100</f>
        <v>4.8773942095531213</v>
      </c>
      <c r="S108" s="10"/>
      <c r="T108" s="14"/>
      <c r="V108" s="12"/>
      <c r="W108" s="34"/>
    </row>
    <row r="109" spans="1:24" ht="18" x14ac:dyDescent="0.25">
      <c r="A109" s="36"/>
      <c r="B109" s="37"/>
      <c r="C109" s="37"/>
      <c r="D109" s="37"/>
      <c r="E109" s="38"/>
      <c r="F109" s="39" t="s">
        <v>2</v>
      </c>
      <c r="G109" s="40">
        <v>68.608999999999995</v>
      </c>
      <c r="H109" s="37">
        <v>50</v>
      </c>
      <c r="I109" s="37">
        <v>4</v>
      </c>
      <c r="J109" s="37">
        <v>10</v>
      </c>
      <c r="K109" s="37">
        <f t="shared" si="25"/>
        <v>0.05</v>
      </c>
      <c r="L109" s="37">
        <v>5</v>
      </c>
      <c r="M109" s="41">
        <f t="shared" si="41"/>
        <v>1.5025370999999998E-3</v>
      </c>
      <c r="N109" s="42">
        <v>21.9</v>
      </c>
      <c r="O109" s="41">
        <f t="shared" si="27"/>
        <v>6.2315123839608036E-2</v>
      </c>
      <c r="P109" s="43">
        <f t="shared" si="28"/>
        <v>1.2463024767921607</v>
      </c>
      <c r="Q109" s="44">
        <f t="shared" si="29"/>
        <v>0.31157561919804017</v>
      </c>
      <c r="R109" s="45"/>
      <c r="S109" s="46"/>
      <c r="T109" s="47"/>
      <c r="V109" s="12"/>
      <c r="W109" s="3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1185-1F4E-4C5C-8D28-6AED336C6368}">
  <dimension ref="B2:N16"/>
  <sheetViews>
    <sheetView tabSelected="1" workbookViewId="0">
      <selection activeCell="G22" sqref="G22"/>
    </sheetView>
  </sheetViews>
  <sheetFormatPr baseColWidth="10" defaultRowHeight="15" x14ac:dyDescent="0.25"/>
  <cols>
    <col min="2" max="2" width="8.85546875"/>
    <col min="3" max="3" width="10.28515625" customWidth="1"/>
    <col min="4" max="4" width="13" customWidth="1"/>
    <col min="5" max="5" width="15.5703125" customWidth="1"/>
  </cols>
  <sheetData>
    <row r="2" spans="2:14" ht="18.75" x14ac:dyDescent="0.3">
      <c r="B2" s="58" t="s">
        <v>55</v>
      </c>
      <c r="C2" s="58"/>
      <c r="F2" s="34"/>
      <c r="G2" s="34"/>
      <c r="H2" s="34"/>
    </row>
    <row r="3" spans="2:14" x14ac:dyDescent="0.25">
      <c r="F3" s="34"/>
      <c r="G3" s="34"/>
      <c r="H3" s="34"/>
    </row>
    <row r="4" spans="2:14" ht="18" x14ac:dyDescent="0.25">
      <c r="B4" s="59" t="s">
        <v>56</v>
      </c>
      <c r="C4" s="60" t="s">
        <v>14</v>
      </c>
      <c r="D4" s="59" t="s">
        <v>57</v>
      </c>
      <c r="E4" s="60" t="s">
        <v>17</v>
      </c>
      <c r="F4" s="61" t="s">
        <v>58</v>
      </c>
      <c r="G4" s="62" t="s">
        <v>59</v>
      </c>
      <c r="H4" s="63" t="s">
        <v>60</v>
      </c>
      <c r="I4" s="60" t="s">
        <v>61</v>
      </c>
      <c r="J4" s="62" t="s">
        <v>62</v>
      </c>
      <c r="K4" s="63" t="s">
        <v>63</v>
      </c>
      <c r="L4" s="64" t="s">
        <v>64</v>
      </c>
      <c r="M4" s="65" t="s">
        <v>65</v>
      </c>
      <c r="N4" s="66" t="s">
        <v>66</v>
      </c>
    </row>
    <row r="5" spans="2:14" ht="18" x14ac:dyDescent="0.25">
      <c r="B5" s="67">
        <v>482</v>
      </c>
      <c r="C5" s="68" t="s">
        <v>4</v>
      </c>
      <c r="D5" s="69"/>
      <c r="E5" s="68" t="s">
        <v>36</v>
      </c>
      <c r="F5" s="70">
        <v>7.7388440428915244</v>
      </c>
      <c r="G5" s="92">
        <v>0</v>
      </c>
      <c r="H5" s="71">
        <v>4.819911810641222</v>
      </c>
      <c r="I5" s="72">
        <f t="shared" ref="I5:K16" si="0">F5/4</f>
        <v>1.9347110107228811</v>
      </c>
      <c r="J5" s="72">
        <f t="shared" si="0"/>
        <v>0</v>
      </c>
      <c r="K5" s="73">
        <f t="shared" si="0"/>
        <v>1.2049779526603055</v>
      </c>
      <c r="L5" s="74">
        <v>426.02366666666666</v>
      </c>
      <c r="M5" s="74">
        <v>0</v>
      </c>
      <c r="N5" s="75">
        <v>265.33633333333336</v>
      </c>
    </row>
    <row r="6" spans="2:14" ht="18" x14ac:dyDescent="0.25">
      <c r="B6" s="76">
        <v>483</v>
      </c>
      <c r="C6" s="77" t="s">
        <v>4</v>
      </c>
      <c r="D6" s="78"/>
      <c r="E6" s="77" t="s">
        <v>67</v>
      </c>
      <c r="F6" s="79">
        <v>16.517651017706719</v>
      </c>
      <c r="G6" s="93">
        <v>2.1877126478425306</v>
      </c>
      <c r="H6" s="80">
        <v>444.80292405664414</v>
      </c>
      <c r="I6" s="81">
        <f t="shared" si="0"/>
        <v>4.1294127544266797</v>
      </c>
      <c r="J6" s="81">
        <f t="shared" si="0"/>
        <v>0.54692816196063265</v>
      </c>
      <c r="K6" s="82">
        <f t="shared" si="0"/>
        <v>111.20073101416104</v>
      </c>
      <c r="L6" s="83">
        <v>909.29733333333331</v>
      </c>
      <c r="M6" s="83">
        <v>120.43366666666667</v>
      </c>
      <c r="N6" s="84">
        <v>24486.418333333335</v>
      </c>
    </row>
    <row r="7" spans="2:14" x14ac:dyDescent="0.25">
      <c r="B7" s="67">
        <v>484</v>
      </c>
      <c r="C7" s="68" t="s">
        <v>38</v>
      </c>
      <c r="D7" s="85"/>
      <c r="E7" s="68" t="s">
        <v>36</v>
      </c>
      <c r="F7" s="70">
        <v>10.118133908801786</v>
      </c>
      <c r="G7" s="92">
        <v>0</v>
      </c>
      <c r="H7" s="71">
        <v>5.1729300283651343</v>
      </c>
      <c r="I7" s="72">
        <f t="shared" si="0"/>
        <v>2.5295334772004465</v>
      </c>
      <c r="J7" s="72">
        <f t="shared" si="0"/>
        <v>0</v>
      </c>
      <c r="K7" s="73">
        <f t="shared" si="0"/>
        <v>1.2932325070912836</v>
      </c>
      <c r="L7" s="74">
        <v>557.00366666666662</v>
      </c>
      <c r="M7" s="74">
        <v>0</v>
      </c>
      <c r="N7" s="75">
        <v>284.77</v>
      </c>
    </row>
    <row r="8" spans="2:14" ht="18" x14ac:dyDescent="0.25">
      <c r="B8" s="76">
        <v>485</v>
      </c>
      <c r="C8" s="77" t="s">
        <v>38</v>
      </c>
      <c r="D8" s="86"/>
      <c r="E8" s="77" t="s">
        <v>67</v>
      </c>
      <c r="F8" s="79">
        <v>22.694479819494575</v>
      </c>
      <c r="G8" s="93">
        <v>1.8453211255801953</v>
      </c>
      <c r="H8" s="80">
        <v>348.42255038035063</v>
      </c>
      <c r="I8" s="81">
        <f t="shared" si="0"/>
        <v>5.6736199548736437</v>
      </c>
      <c r="J8" s="81">
        <f t="shared" si="0"/>
        <v>0.46133028139504884</v>
      </c>
      <c r="K8" s="82">
        <f t="shared" si="0"/>
        <v>87.105637595087657</v>
      </c>
      <c r="L8" s="83">
        <v>1249.3320000000001</v>
      </c>
      <c r="M8" s="83">
        <v>101.58499999999999</v>
      </c>
      <c r="N8" s="84">
        <v>19180.674999999999</v>
      </c>
    </row>
    <row r="9" spans="2:14" x14ac:dyDescent="0.25">
      <c r="B9" s="67">
        <v>486</v>
      </c>
      <c r="C9" s="87" t="s">
        <v>41</v>
      </c>
      <c r="D9" s="87"/>
      <c r="E9" s="68" t="s">
        <v>36</v>
      </c>
      <c r="F9" s="70">
        <v>8.2489375352415291</v>
      </c>
      <c r="G9" s="92">
        <v>0</v>
      </c>
      <c r="H9" s="71">
        <v>1.6486515708268861</v>
      </c>
      <c r="I9" s="72">
        <f t="shared" si="0"/>
        <v>2.0622343838103823</v>
      </c>
      <c r="J9" s="72">
        <f t="shared" si="0"/>
        <v>0</v>
      </c>
      <c r="K9" s="73">
        <f t="shared" si="0"/>
        <v>0.41216289270672152</v>
      </c>
      <c r="L9" s="74">
        <v>454.10433333333339</v>
      </c>
      <c r="M9" s="74">
        <v>0</v>
      </c>
      <c r="N9" s="75">
        <v>90.758333333333326</v>
      </c>
    </row>
    <row r="10" spans="2:14" ht="18" x14ac:dyDescent="0.25">
      <c r="B10" s="76">
        <v>487</v>
      </c>
      <c r="C10" s="88" t="s">
        <v>41</v>
      </c>
      <c r="D10" s="88"/>
      <c r="E10" s="77" t="s">
        <v>67</v>
      </c>
      <c r="F10" s="79">
        <v>14.95397667998968</v>
      </c>
      <c r="G10" s="93">
        <v>1.440792196578992</v>
      </c>
      <c r="H10" s="80">
        <v>310.10929871196487</v>
      </c>
      <c r="I10" s="81">
        <f t="shared" si="0"/>
        <v>3.7384941699974199</v>
      </c>
      <c r="J10" s="81">
        <f t="shared" si="0"/>
        <v>0.36019804914474801</v>
      </c>
      <c r="K10" s="82">
        <f t="shared" si="0"/>
        <v>77.527324677991217</v>
      </c>
      <c r="L10" s="83">
        <v>823.21699999999998</v>
      </c>
      <c r="M10" s="83">
        <v>79.315666666666672</v>
      </c>
      <c r="N10" s="84">
        <v>17071.528999999999</v>
      </c>
    </row>
    <row r="11" spans="2:14" x14ac:dyDescent="0.25">
      <c r="B11" s="67">
        <v>488</v>
      </c>
      <c r="C11" s="85" t="s">
        <v>44</v>
      </c>
      <c r="D11" s="69"/>
      <c r="E11" s="68" t="s">
        <v>36</v>
      </c>
      <c r="F11" s="70">
        <v>6.5010913632456564</v>
      </c>
      <c r="G11" s="92">
        <v>0</v>
      </c>
      <c r="H11" s="71">
        <v>1.7607738043665115</v>
      </c>
      <c r="I11" s="72">
        <f t="shared" si="0"/>
        <v>1.6252728408114141</v>
      </c>
      <c r="J11" s="72">
        <f t="shared" si="0"/>
        <v>0</v>
      </c>
      <c r="K11" s="73">
        <f t="shared" si="0"/>
        <v>0.44019345109162789</v>
      </c>
      <c r="L11" s="74">
        <v>357.88533333333334</v>
      </c>
      <c r="M11" s="74">
        <v>0</v>
      </c>
      <c r="N11" s="75">
        <v>96.930666666666681</v>
      </c>
    </row>
    <row r="12" spans="2:14" ht="18" x14ac:dyDescent="0.25">
      <c r="B12" s="76">
        <v>489</v>
      </c>
      <c r="C12" s="89" t="s">
        <v>44</v>
      </c>
      <c r="D12" s="78"/>
      <c r="E12" s="77" t="s">
        <v>67</v>
      </c>
      <c r="F12" s="79">
        <v>1.486163039367371</v>
      </c>
      <c r="G12" s="93">
        <v>0</v>
      </c>
      <c r="H12" s="80">
        <v>94.731806876826525</v>
      </c>
      <c r="I12" s="81">
        <f t="shared" si="0"/>
        <v>0.37154075984184276</v>
      </c>
      <c r="J12" s="81">
        <f t="shared" si="0"/>
        <v>0</v>
      </c>
      <c r="K12" s="82">
        <f t="shared" si="0"/>
        <v>23.682951719206631</v>
      </c>
      <c r="L12" s="83">
        <v>81.813333333333333</v>
      </c>
      <c r="M12" s="83">
        <v>0</v>
      </c>
      <c r="N12" s="84">
        <v>5214.9896666666673</v>
      </c>
    </row>
    <row r="13" spans="2:14" x14ac:dyDescent="0.25">
      <c r="B13" s="67">
        <v>490</v>
      </c>
      <c r="C13" s="85" t="s">
        <v>47</v>
      </c>
      <c r="D13" s="85"/>
      <c r="E13" s="68" t="s">
        <v>36</v>
      </c>
      <c r="F13" s="70">
        <v>2.612417160477909</v>
      </c>
      <c r="G13" s="92">
        <v>0</v>
      </c>
      <c r="H13" s="71">
        <v>1.0309529473955645</v>
      </c>
      <c r="I13" s="72">
        <f t="shared" si="0"/>
        <v>0.65310429011947724</v>
      </c>
      <c r="J13" s="72">
        <f t="shared" si="0"/>
        <v>0</v>
      </c>
      <c r="K13" s="73">
        <f t="shared" si="0"/>
        <v>0.25773823684889113</v>
      </c>
      <c r="L13" s="74">
        <v>143.81366666666668</v>
      </c>
      <c r="M13" s="74">
        <v>0</v>
      </c>
      <c r="N13" s="75">
        <v>56.753999999999998</v>
      </c>
    </row>
    <row r="14" spans="2:14" ht="18" x14ac:dyDescent="0.25">
      <c r="B14" s="76">
        <v>491</v>
      </c>
      <c r="C14" s="89" t="s">
        <v>47</v>
      </c>
      <c r="D14" s="86"/>
      <c r="E14" s="77" t="s">
        <v>67</v>
      </c>
      <c r="F14" s="79">
        <v>0</v>
      </c>
      <c r="G14" s="93">
        <v>0</v>
      </c>
      <c r="H14" s="80">
        <v>0</v>
      </c>
      <c r="I14" s="81">
        <f t="shared" si="0"/>
        <v>0</v>
      </c>
      <c r="J14" s="81">
        <f t="shared" si="0"/>
        <v>0</v>
      </c>
      <c r="K14" s="82">
        <f t="shared" si="0"/>
        <v>0</v>
      </c>
      <c r="L14" s="83">
        <v>0</v>
      </c>
      <c r="M14" s="83">
        <v>0</v>
      </c>
      <c r="N14" s="84">
        <v>0</v>
      </c>
    </row>
    <row r="15" spans="2:14" ht="18" x14ac:dyDescent="0.25">
      <c r="B15" s="67">
        <v>492</v>
      </c>
      <c r="C15" s="87" t="s">
        <v>41</v>
      </c>
      <c r="D15" s="90" t="s">
        <v>68</v>
      </c>
      <c r="E15" s="68" t="s">
        <v>67</v>
      </c>
      <c r="F15" s="70">
        <v>16.135435121626262</v>
      </c>
      <c r="G15" s="92">
        <v>0</v>
      </c>
      <c r="H15" s="71">
        <v>204.49058462953408</v>
      </c>
      <c r="I15" s="72">
        <f t="shared" si="0"/>
        <v>4.0338587804065655</v>
      </c>
      <c r="J15" s="72">
        <f t="shared" si="0"/>
        <v>0</v>
      </c>
      <c r="K15" s="73">
        <f t="shared" si="0"/>
        <v>51.122646157383521</v>
      </c>
      <c r="L15" s="74">
        <v>888.25633333333326</v>
      </c>
      <c r="M15" s="74">
        <v>0</v>
      </c>
      <c r="N15" s="75">
        <v>11257.214666666667</v>
      </c>
    </row>
    <row r="16" spans="2:14" ht="18" x14ac:dyDescent="0.25">
      <c r="B16" s="76">
        <v>493</v>
      </c>
      <c r="C16" s="88" t="s">
        <v>41</v>
      </c>
      <c r="D16" s="91" t="s">
        <v>69</v>
      </c>
      <c r="E16" s="77" t="s">
        <v>67</v>
      </c>
      <c r="F16" s="79">
        <v>13.464065535499396</v>
      </c>
      <c r="G16" s="93">
        <v>1.2777526512807285</v>
      </c>
      <c r="H16" s="80">
        <v>287.92286576199064</v>
      </c>
      <c r="I16" s="81">
        <f t="shared" si="0"/>
        <v>3.3660163838748489</v>
      </c>
      <c r="J16" s="81">
        <f t="shared" si="0"/>
        <v>0.31943816282018211</v>
      </c>
      <c r="K16" s="82">
        <f t="shared" si="0"/>
        <v>71.980716440497659</v>
      </c>
      <c r="L16" s="83">
        <v>741.19733333333318</v>
      </c>
      <c r="M16" s="83">
        <v>70.340333333333334</v>
      </c>
      <c r="N16" s="84">
        <v>15850.164999999999</v>
      </c>
    </row>
  </sheetData>
  <conditionalFormatting sqref="F5:H16">
    <cfRule type="cellIs" dxfId="4" priority="1" operator="greaterThan">
      <formula>100</formula>
    </cfRule>
    <cfRule type="cellIs" dxfId="3" priority="2" operator="between">
      <formula>50.01</formula>
      <formula>100</formula>
    </cfRule>
    <cfRule type="cellIs" dxfId="2" priority="3" operator="between">
      <formula>10.01</formula>
      <formula>50</formula>
    </cfRule>
    <cfRule type="cellIs" dxfId="1" priority="4" operator="between">
      <formula>0.01</formula>
      <formula>10</formula>
    </cfRule>
    <cfRule type="cellIs" dxfId="0" priority="5" operator="equal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Testungen</vt:lpstr>
      <vt:lpstr>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Jérôme Maurice Joel (IBCS)</dc:creator>
  <cp:lastModifiedBy>Wagner, Jérôme Maurice Joel (IBCS)</cp:lastModifiedBy>
  <dcterms:created xsi:type="dcterms:W3CDTF">2026-05-27T12:49:17Z</dcterms:created>
  <dcterms:modified xsi:type="dcterms:W3CDTF">2026-05-29T12:50:13Z</dcterms:modified>
</cp:coreProperties>
</file>